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B19F93520A346A65/Documents/"/>
    </mc:Choice>
  </mc:AlternateContent>
  <xr:revisionPtr revIDLastSave="3" documentId="8_{EDDA7349-80D5-4517-8C5D-8FDBB89DAB27}" xr6:coauthVersionLast="47" xr6:coauthVersionMax="47" xr10:uidLastSave="{3A7FF96E-9B6F-4951-8F0E-5F98BB94C192}"/>
  <bookViews>
    <workbookView xWindow="-108" yWindow="-108" windowWidth="23256" windowHeight="12456" tabRatio="613" xr2:uid="{00000000-000D-0000-FFFF-FFFF00000000}"/>
  </bookViews>
  <sheets>
    <sheet name="Dataset" sheetId="2" r:id="rId1"/>
    <sheet name="Instruction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R4" i="2" l="1"/>
  <c r="M2" i="2"/>
  <c r="J19" i="2"/>
  <c r="R2" i="2"/>
  <c r="Q2" i="2"/>
  <c r="P2" i="2"/>
  <c r="J9" i="2"/>
  <c r="J1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J7" i="2"/>
  <c r="J15" i="2"/>
  <c r="J13" i="2"/>
  <c r="J11" i="2"/>
  <c r="R3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</calcChain>
</file>

<file path=xl/sharedStrings.xml><?xml version="1.0" encoding="utf-8"?>
<sst xmlns="http://schemas.openxmlformats.org/spreadsheetml/2006/main" count="206" uniqueCount="121">
  <si>
    <t>Product ID</t>
  </si>
  <si>
    <t>Product Name</t>
  </si>
  <si>
    <t>Brand Name</t>
  </si>
  <si>
    <t>Price ($)</t>
  </si>
  <si>
    <t>Quantity</t>
  </si>
  <si>
    <t>Category</t>
  </si>
  <si>
    <t>Price range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</si>
  <si>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</si>
  <si>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</si>
  <si>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</si>
  <si>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</si>
  <si>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</si>
  <si>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</si>
  <si>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</si>
  <si>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</si>
  <si>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</si>
  <si>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</si>
  <si>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</si>
  <si>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</si>
  <si>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</si>
  <si>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</si>
  <si>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</si>
  <si>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</si>
  <si>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</si>
  <si>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</si>
  <si>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</si>
  <si>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</si>
  <si>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</si>
  <si>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</si>
  <si>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</si>
  <si>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</si>
  <si>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</si>
  <si>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</si>
  <si>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</si>
  <si>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</si>
  <si>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</si>
  <si>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</si>
  <si>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</si>
  <si>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</si>
  <si>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</si>
  <si>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</si>
  <si>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</si>
  <si>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</si>
  <si>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</si>
  <si>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</si>
  <si>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</si>
  <si>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</si>
  <si>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</si>
  <si>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</si>
  <si>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</si>
  <si>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</si>
  <si>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</si>
  <si>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</si>
  <si>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</si>
  <si>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</si>
  <si>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</si>
  <si>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</si>
  <si>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</si>
  <si>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</si>
  <si>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</si>
  <si>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</si>
  <si>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</si>
  <si>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</si>
  <si>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</si>
  <si>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</si>
  <si>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</si>
  <si>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</si>
  <si>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</si>
  <si>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</si>
  <si>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</si>
  <si>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</si>
  <si>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</si>
  <si>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</si>
  <si>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</si>
  <si>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</si>
  <si>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</si>
  <si>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</si>
  <si>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</si>
  <si>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</si>
  <si>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</si>
  <si>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</si>
  <si>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</si>
  <si>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</si>
  <si>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</si>
  <si>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</si>
  <si>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</si>
  <si>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</si>
  <si>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</si>
  <si>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</si>
  <si>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</si>
  <si>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</si>
  <si>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</si>
  <si>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</si>
  <si>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</si>
  <si>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</si>
  <si>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</si>
  <si>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</si>
  <si>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</si>
  <si>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</si>
  <si>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</si>
  <si>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</si>
  <si>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</si>
  <si>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</si>
  <si>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</si>
  <si>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</si>
  <si>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</si>
  <si>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</si>
  <si>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</si>
  <si>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</si>
  <si>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</si>
  <si>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</si>
  <si>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Day-LEFT</t>
  </si>
  <si>
    <t>Country code-RIGHT</t>
  </si>
  <si>
    <t>Month-MID</t>
  </si>
  <si>
    <t>Number of the products</t>
  </si>
  <si>
    <t>Average price of the products</t>
  </si>
  <si>
    <t>Total price of the products</t>
  </si>
  <si>
    <t>Minimum price of the products</t>
  </si>
  <si>
    <t>Maximum price of the products</t>
  </si>
  <si>
    <t>Total price of products in the electroics</t>
  </si>
  <si>
    <t>No.of products price less than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</si>
</sst>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1" xfId="0" applyFont="1" applyBorder="1"/>
    <xf numFmtId="0" fontId="7" fillId="0" borderId="1" xfId="0" applyFont="1" applyBorder="1" applyAlignment="1">
      <alignment horizontal="left" vertical="center"/>
    </xf>
    <xf numFmtId="0" fontId="0" fillId="0" borderId="1" xfId="0" applyBorder="1"/>
    <xf numFmtId="0" fontId="7" fillId="0" borderId="1" xfId="0" applyFont="1" applyBorder="1" applyAlignment="1">
      <alignment horizontal="left"/>
    </xf>
    <xf numFmtId="0" fontId="8" fillId="2" borderId="0" xfId="0" applyFont="1" applyFill="1" applyAlignment="1">
      <alignment horizontal="center"/>
    </xf>
    <xf numFmtId="0" fontId="9" fillId="0" borderId="0" xfId="0" applyFont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topLeftCell="F1" zoomScale="101" zoomScaleNormal="101" workbookViewId="0">
      <selection activeCell="N5" sqref="N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9" max="9" width="35" bestFit="1" customWidth="1"/>
    <col min="13" max="13" width="15.6640625" bestFit="1" customWidth="1"/>
    <col min="15" max="15" width="15.6640625" bestFit="1" customWidth="1"/>
    <col min="17" max="17" width="19.44140625" bestFit="1" customWidth="1"/>
  </cols>
  <sheetData>
    <row r="1" spans="1:18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/>
      <c r="L1" s="14" t="s">
        <v>3</v>
      </c>
      <c r="M1" s="5" t="s">
        <v>6</v>
      </c>
      <c r="O1" s="14" t="s">
        <v>0</v>
      </c>
      <c r="P1" s="5" t="s">
        <v>111</v>
      </c>
      <c r="Q1" s="5" t="s">
        <v>112</v>
      </c>
      <c r="R1" s="5" t="s">
        <v>113</v>
      </c>
    </row>
    <row r="2" spans="1:18" ht="15.75" customHeight="1" x14ac:dyDescent="0.25">
      <c r="A2" s="7" t="s">
        <v>7</v>
      </c>
      <c r="B2" s="7" t="s">
        <v>8</v>
      </c>
      <c r="C2" s="7" t="s">
        <v>9</v>
      </c>
      <c r="D2" s="7">
        <v>1000</v>
      </c>
      <c r="E2" s="7">
        <v>30</v>
      </c>
      <c r="F2" s="7" t="s">
        <v>10</v>
      </c>
      <c r="G2" s="7"/>
      <c r="L2" s="7">
        <v>1000</v>
      </c>
      <c r="M2" s="7" t="str">
        <f>IF(Dataset!L2&gt;=500,"high price","standard price")</f>
        <v>high price</v>
      </c>
      <c r="O2" s="7" t="s">
        <v>7</v>
      </c>
      <c r="P2" s="7" t="str">
        <f>LEFT(O2,2)</f>
        <v>28</v>
      </c>
      <c r="Q2" s="7" t="str">
        <f>RIGHT(O2,2)</f>
        <v>US</v>
      </c>
      <c r="R2" s="7" t="str">
        <f>MID(Dataset!O2,4,3)</f>
        <v>JAN</v>
      </c>
    </row>
    <row r="3" spans="1:18" ht="15.75" customHeight="1" x14ac:dyDescent="0.25">
      <c r="A3" s="8" t="s">
        <v>11</v>
      </c>
      <c r="B3" s="8" t="s">
        <v>12</v>
      </c>
      <c r="C3" s="8" t="s">
        <v>13</v>
      </c>
      <c r="D3" s="8">
        <v>80</v>
      </c>
      <c r="E3" s="8">
        <v>15</v>
      </c>
      <c r="F3" s="8" t="s">
        <v>14</v>
      </c>
      <c r="G3" s="7"/>
      <c r="L3" s="8">
        <v>80</v>
      </c>
      <c r="M3" s="7" t="str">
        <f>IF(Dataset!L3&gt;=500,"high price","standard price")</f>
        <v>standard price</v>
      </c>
      <c r="O3" s="8" t="s">
        <v>11</v>
      </c>
      <c r="P3" s="8" t="str">
        <f t="shared" ref="P3:P35" si="0">LEFT(O3,2)</f>
        <v>15</v>
      </c>
      <c r="Q3" s="8" t="str">
        <f t="shared" ref="Q3:Q35" si="1">RIGHT(O3,2)</f>
        <v>US</v>
      </c>
      <c r="R3" s="8" t="str">
        <f>MID(Dataset!O3,4,3)</f>
        <v>FEB</v>
      </c>
    </row>
    <row r="4" spans="1:18" ht="15.75" customHeight="1" x14ac:dyDescent="0.25">
      <c r="A4" s="7" t="s">
        <v>15</v>
      </c>
      <c r="B4" s="7" t="s">
        <v>16</v>
      </c>
      <c r="C4" s="7" t="s">
        <v>17</v>
      </c>
      <c r="D4" s="7">
        <v>130</v>
      </c>
      <c r="E4" s="7">
        <v>40</v>
      </c>
      <c r="F4" s="7" t="s">
        <v>18</v>
      </c>
      <c r="G4" s="7"/>
      <c r="L4" s="7">
        <v>130</v>
      </c>
      <c r="M4" s="7" t="str">
        <f>IF(Dataset!L4&gt;=500,"high price","standard price")</f>
        <v>standard price</v>
      </c>
      <c r="O4" s="7" t="s">
        <v>15</v>
      </c>
      <c r="P4" s="7" t="str">
        <f t="shared" si="0"/>
        <v>03</v>
      </c>
      <c r="Q4" s="7" t="str">
        <f t="shared" si="1"/>
        <v>US</v>
      </c>
      <c r="R4" s="7" t="str">
        <f>MID(Dataset!O4,4,3)</f>
        <v>MAR</v>
      </c>
    </row>
    <row r="5" spans="1:18" ht="15.75" customHeight="1" x14ac:dyDescent="0.25">
      <c r="A5" s="8" t="s">
        <v>19</v>
      </c>
      <c r="B5" s="8" t="s">
        <v>20</v>
      </c>
      <c r="C5" s="8" t="s">
        <v>21</v>
      </c>
      <c r="D5" s="8">
        <v>900</v>
      </c>
      <c r="E5" s="8">
        <v>25</v>
      </c>
      <c r="F5" s="8" t="s">
        <v>10</v>
      </c>
      <c r="G5" s="7"/>
      <c r="L5" s="8">
        <v>900</v>
      </c>
      <c r="M5" s="7" t="str">
        <f>IF(Dataset!L5&gt;=500,"high price","standard price")</f>
        <v>high price</v>
      </c>
      <c r="O5" s="8" t="s">
        <v>19</v>
      </c>
      <c r="P5" s="8" t="str">
        <f t="shared" si="0"/>
        <v>11</v>
      </c>
      <c r="Q5" s="8" t="str">
        <f t="shared" si="1"/>
        <v>US</v>
      </c>
      <c r="R5" s="8" t="str">
        <f>MID(Dataset!O5,4,3)</f>
        <v>APR</v>
      </c>
    </row>
    <row r="6" spans="1:18" ht="15.75" customHeight="1" thickBot="1" x14ac:dyDescent="0.3">
      <c r="A6" s="7" t="s">
        <v>22</v>
      </c>
      <c r="B6" s="7" t="s">
        <v>23</v>
      </c>
      <c r="C6" s="7" t="s">
        <v>24</v>
      </c>
      <c r="D6" s="7">
        <v>70</v>
      </c>
      <c r="E6" s="7">
        <v>20</v>
      </c>
      <c r="F6" s="7" t="s">
        <v>25</v>
      </c>
      <c r="G6" s="7"/>
      <c r="L6" s="7">
        <v>70</v>
      </c>
      <c r="M6" s="7" t="str">
        <f>IF(Dataset!L6&gt;=500,"high price","standard price")</f>
        <v>standard price</v>
      </c>
      <c r="O6" s="7" t="s">
        <v>22</v>
      </c>
      <c r="P6" s="7" t="str">
        <f t="shared" si="0"/>
        <v>22</v>
      </c>
      <c r="Q6" s="7" t="str">
        <f t="shared" si="1"/>
        <v>US</v>
      </c>
      <c r="R6" s="7" t="str">
        <f>MID(Dataset!O6,4,3)</f>
        <v>MAY</v>
      </c>
    </row>
    <row r="7" spans="1:18" ht="15.75" customHeight="1" thickBot="1" x14ac:dyDescent="0.3">
      <c r="A7" s="8" t="s">
        <v>26</v>
      </c>
      <c r="B7" s="8" t="s">
        <v>27</v>
      </c>
      <c r="C7" s="8" t="s">
        <v>28</v>
      </c>
      <c r="D7" s="8">
        <v>200</v>
      </c>
      <c r="E7" s="8">
        <v>45</v>
      </c>
      <c r="F7" s="8" t="s">
        <v>10</v>
      </c>
      <c r="G7" s="7"/>
      <c r="I7" s="11" t="s">
        <v>116</v>
      </c>
      <c r="J7" s="16">
        <f>SUM(D:D)</f>
        <v>10100</v>
      </c>
      <c r="L7" s="8">
        <v>200</v>
      </c>
      <c r="M7" s="7" t="str">
        <f>IF(Dataset!L7&gt;=500,"high price","standard price")</f>
        <v>standard price</v>
      </c>
      <c r="O7" s="8" t="s">
        <v>26</v>
      </c>
      <c r="P7" s="8" t="str">
        <f t="shared" si="0"/>
        <v>07</v>
      </c>
      <c r="Q7" s="8" t="str">
        <f t="shared" si="1"/>
        <v>UK</v>
      </c>
      <c r="R7" s="8" t="str">
        <f>MID(Dataset!O7,4,3)</f>
        <v>JUN</v>
      </c>
    </row>
    <row r="8" spans="1:18" ht="15.75" customHeight="1" thickBot="1" x14ac:dyDescent="0.3">
      <c r="A8" s="7" t="s">
        <v>29</v>
      </c>
      <c r="B8" s="7" t="s">
        <v>30</v>
      </c>
      <c r="C8" s="7" t="s">
        <v>31</v>
      </c>
      <c r="D8" s="7">
        <v>30</v>
      </c>
      <c r="E8" s="7">
        <v>5</v>
      </c>
      <c r="F8" s="7" t="s">
        <v>14</v>
      </c>
      <c r="G8" s="7"/>
      <c r="L8" s="7">
        <v>30</v>
      </c>
      <c r="M8" s="7" t="str">
        <f>IF(Dataset!L8&gt;=500,"high price","standard price")</f>
        <v>standard price</v>
      </c>
      <c r="O8" s="7" t="s">
        <v>29</v>
      </c>
      <c r="P8" s="7" t="str">
        <f t="shared" si="0"/>
        <v>19</v>
      </c>
      <c r="Q8" s="7" t="str">
        <f t="shared" si="1"/>
        <v>UK</v>
      </c>
      <c r="R8" s="7" t="str">
        <f>MID(Dataset!O8,4,3)</f>
        <v>JUL</v>
      </c>
    </row>
    <row r="9" spans="1:18" ht="15.75" customHeight="1" thickBot="1" x14ac:dyDescent="0.3">
      <c r="A9" s="8" t="s">
        <v>32</v>
      </c>
      <c r="B9" s="8" t="s">
        <v>33</v>
      </c>
      <c r="C9" s="8" t="s">
        <v>34</v>
      </c>
      <c r="D9" s="8">
        <v>90</v>
      </c>
      <c r="E9" s="8">
        <v>35</v>
      </c>
      <c r="F9" s="8" t="s">
        <v>18</v>
      </c>
      <c r="G9" s="7"/>
      <c r="I9" s="11" t="s">
        <v>114</v>
      </c>
      <c r="J9" s="12">
        <f>COUNT(E:E)</f>
        <v>34</v>
      </c>
      <c r="L9" s="8">
        <v>90</v>
      </c>
      <c r="M9" s="7" t="str">
        <f>IF(Dataset!L9&gt;=500,"high price","standard price")</f>
        <v>standard price</v>
      </c>
      <c r="O9" s="8" t="s">
        <v>32</v>
      </c>
      <c r="P9" s="8" t="str">
        <f t="shared" si="0"/>
        <v>23</v>
      </c>
      <c r="Q9" s="8" t="str">
        <f t="shared" si="1"/>
        <v>UK</v>
      </c>
      <c r="R9" s="8" t="str">
        <f>MID(Dataset!O9,4,3)</f>
        <v>AUG</v>
      </c>
    </row>
    <row r="10" spans="1:18" ht="15.75" customHeight="1" thickBot="1" x14ac:dyDescent="0.3">
      <c r="A10" s="7" t="s">
        <v>35</v>
      </c>
      <c r="B10" s="7" t="s">
        <v>36</v>
      </c>
      <c r="C10" s="7" t="s">
        <v>37</v>
      </c>
      <c r="D10" s="7">
        <v>500</v>
      </c>
      <c r="E10" s="7">
        <v>50</v>
      </c>
      <c r="F10" s="7" t="s">
        <v>10</v>
      </c>
      <c r="G10" s="7"/>
      <c r="L10" s="7">
        <v>500</v>
      </c>
      <c r="M10" s="7" t="str">
        <f>IF(Dataset!L10&gt;=500,"high price","standard price")</f>
        <v>high price</v>
      </c>
      <c r="O10" s="7" t="s">
        <v>35</v>
      </c>
      <c r="P10" s="7" t="str">
        <f t="shared" si="0"/>
        <v>05</v>
      </c>
      <c r="Q10" s="7" t="str">
        <f t="shared" si="1"/>
        <v>UK</v>
      </c>
      <c r="R10" s="7" t="str">
        <f>MID(Dataset!O10,4,3)</f>
        <v>SEP</v>
      </c>
    </row>
    <row r="11" spans="1:18" ht="15.75" customHeight="1" thickBot="1" x14ac:dyDescent="0.3">
      <c r="A11" s="8" t="s">
        <v>38</v>
      </c>
      <c r="B11" s="8" t="s">
        <v>39</v>
      </c>
      <c r="C11" s="8" t="s">
        <v>40</v>
      </c>
      <c r="D11" s="8">
        <v>130</v>
      </c>
      <c r="E11" s="8">
        <v>10</v>
      </c>
      <c r="F11" s="8" t="s">
        <v>25</v>
      </c>
      <c r="G11" s="7"/>
      <c r="I11" s="13" t="s">
        <v>115</v>
      </c>
      <c r="J11" s="12">
        <f>AVERAGEA(D:D)</f>
        <v>288.57142857142856</v>
      </c>
      <c r="L11" s="8">
        <v>130</v>
      </c>
      <c r="M11" s="7" t="str">
        <f>IF(Dataset!L11&gt;=500,"high price","standard price")</f>
        <v>standard price</v>
      </c>
      <c r="O11" s="8" t="s">
        <v>38</v>
      </c>
      <c r="P11" s="8" t="str">
        <f t="shared" si="0"/>
        <v>14</v>
      </c>
      <c r="Q11" s="8" t="str">
        <f t="shared" si="1"/>
        <v>UK</v>
      </c>
      <c r="R11" s="8" t="str">
        <f>MID(Dataset!O11,4,3)</f>
        <v>OCT</v>
      </c>
    </row>
    <row r="12" spans="1:18" ht="15.75" customHeight="1" thickBot="1" x14ac:dyDescent="0.3">
      <c r="A12" s="7" t="s">
        <v>41</v>
      </c>
      <c r="B12" s="7" t="s">
        <v>8</v>
      </c>
      <c r="C12" s="7" t="s">
        <v>42</v>
      </c>
      <c r="D12" s="7">
        <v>950</v>
      </c>
      <c r="E12" s="7">
        <v>25</v>
      </c>
      <c r="F12" s="7" t="s">
        <v>10</v>
      </c>
      <c r="G12" s="7"/>
      <c r="L12" s="7">
        <v>950</v>
      </c>
      <c r="M12" s="7" t="str">
        <f>IF(Dataset!L12&gt;=500,"high price","standard price")</f>
        <v>high price</v>
      </c>
      <c r="O12" s="7" t="s">
        <v>41</v>
      </c>
      <c r="P12" s="7" t="str">
        <f t="shared" si="0"/>
        <v>17</v>
      </c>
      <c r="Q12" s="7" t="str">
        <f t="shared" si="1"/>
        <v>IN</v>
      </c>
      <c r="R12" s="7" t="str">
        <f>MID(Dataset!O12,4,3)</f>
        <v>JUN</v>
      </c>
    </row>
    <row r="13" spans="1:18" ht="15.75" customHeight="1" thickBot="1" x14ac:dyDescent="0.3">
      <c r="A13" s="8" t="s">
        <v>43</v>
      </c>
      <c r="B13" s="8" t="s">
        <v>12</v>
      </c>
      <c r="C13" s="8" t="s">
        <v>31</v>
      </c>
      <c r="D13" s="8">
        <v>90</v>
      </c>
      <c r="E13" s="8">
        <v>40</v>
      </c>
      <c r="F13" s="8" t="s">
        <v>14</v>
      </c>
      <c r="G13" s="7"/>
      <c r="I13" s="13" t="s">
        <v>117</v>
      </c>
      <c r="J13" s="12">
        <f>MIN(D:D)</f>
        <v>30</v>
      </c>
      <c r="L13" s="8">
        <v>90</v>
      </c>
      <c r="M13" s="7" t="str">
        <f>IF(Dataset!L13&gt;=500,"high price","standard price")</f>
        <v>standard price</v>
      </c>
      <c r="O13" s="8" t="s">
        <v>43</v>
      </c>
      <c r="P13" s="8" t="str">
        <f t="shared" si="0"/>
        <v>25</v>
      </c>
      <c r="Q13" s="8" t="str">
        <f t="shared" si="1"/>
        <v>AU</v>
      </c>
      <c r="R13" s="8" t="str">
        <f>MID(Dataset!O13,4,3)</f>
        <v>NOV</v>
      </c>
    </row>
    <row r="14" spans="1:18" ht="15.75" customHeight="1" thickBot="1" x14ac:dyDescent="0.3">
      <c r="A14" s="7" t="s">
        <v>44</v>
      </c>
      <c r="B14" s="7" t="s">
        <v>16</v>
      </c>
      <c r="C14" s="7" t="s">
        <v>45</v>
      </c>
      <c r="D14" s="7">
        <v>120</v>
      </c>
      <c r="E14" s="7">
        <v>35</v>
      </c>
      <c r="F14" s="7" t="s">
        <v>18</v>
      </c>
      <c r="G14" s="7"/>
      <c r="L14" s="7">
        <v>120</v>
      </c>
      <c r="M14" s="7" t="str">
        <f>IF(Dataset!L14&gt;=500,"high price","standard price")</f>
        <v>standard price</v>
      </c>
      <c r="O14" s="7" t="s">
        <v>44</v>
      </c>
      <c r="P14" s="7" t="str">
        <f t="shared" si="0"/>
        <v>08</v>
      </c>
      <c r="Q14" s="7" t="str">
        <f t="shared" si="1"/>
        <v>DE</v>
      </c>
      <c r="R14" s="7" t="str">
        <f>MID(Dataset!O14,4,3)</f>
        <v>DEC</v>
      </c>
    </row>
    <row r="15" spans="1:18" ht="15.75" customHeight="1" thickBot="1" x14ac:dyDescent="0.3">
      <c r="A15" s="8" t="s">
        <v>46</v>
      </c>
      <c r="B15" s="8" t="s">
        <v>47</v>
      </c>
      <c r="C15" s="8" t="s">
        <v>48</v>
      </c>
      <c r="D15" s="8">
        <v>150</v>
      </c>
      <c r="E15" s="8">
        <v>15</v>
      </c>
      <c r="F15" s="8" t="s">
        <v>10</v>
      </c>
      <c r="G15" s="7"/>
      <c r="I15" s="10" t="s">
        <v>118</v>
      </c>
      <c r="J15" s="12">
        <f>MAX(L:L)</f>
        <v>1000</v>
      </c>
      <c r="L15" s="8">
        <v>150</v>
      </c>
      <c r="M15" s="7" t="str">
        <f>IF(Dataset!L15&gt;=500,"high price","standard price")</f>
        <v>standard price</v>
      </c>
      <c r="O15" s="8" t="s">
        <v>46</v>
      </c>
      <c r="P15" s="8" t="str">
        <f t="shared" si="0"/>
        <v>18</v>
      </c>
      <c r="Q15" s="8" t="str">
        <f t="shared" si="1"/>
        <v>CA</v>
      </c>
      <c r="R15" s="8" t="str">
        <f>MID(Dataset!O15,4,3)</f>
        <v>FEB</v>
      </c>
    </row>
    <row r="16" spans="1:18" ht="15.75" customHeight="1" thickBot="1" x14ac:dyDescent="0.3">
      <c r="A16" s="7" t="s">
        <v>49</v>
      </c>
      <c r="B16" s="7" t="s">
        <v>27</v>
      </c>
      <c r="C16" s="7" t="s">
        <v>50</v>
      </c>
      <c r="D16" s="7">
        <v>250</v>
      </c>
      <c r="E16" s="7">
        <v>20</v>
      </c>
      <c r="F16" s="7" t="s">
        <v>10</v>
      </c>
      <c r="G16" s="7"/>
      <c r="L16" s="7">
        <v>250</v>
      </c>
      <c r="M16" s="7" t="str">
        <f>IF(Dataset!L16&gt;=500,"high price","standard price")</f>
        <v>standard price</v>
      </c>
      <c r="O16" s="7" t="s">
        <v>49</v>
      </c>
      <c r="P16" s="7" t="str">
        <f t="shared" si="0"/>
        <v>16</v>
      </c>
      <c r="Q16" s="7" t="str">
        <f t="shared" si="1"/>
        <v>ES</v>
      </c>
      <c r="R16" s="7" t="str">
        <f>MID(Dataset!O16,4,3)</f>
        <v>APR</v>
      </c>
    </row>
    <row r="17" spans="1:18" ht="15.75" customHeight="1" thickBot="1" x14ac:dyDescent="0.3">
      <c r="A17" s="8" t="s">
        <v>51</v>
      </c>
      <c r="B17" s="8" t="s">
        <v>52</v>
      </c>
      <c r="C17" s="8" t="s">
        <v>53</v>
      </c>
      <c r="D17" s="8">
        <v>50</v>
      </c>
      <c r="E17" s="8">
        <v>35</v>
      </c>
      <c r="F17" s="8" t="s">
        <v>54</v>
      </c>
      <c r="G17" s="7"/>
      <c r="I17" s="10" t="s">
        <v>119</v>
      </c>
      <c r="J17" s="17">
        <f>SUMIF(F2:F35,"electronics",D2:D35)</f>
        <v>8050</v>
      </c>
      <c r="L17" s="8">
        <v>50</v>
      </c>
      <c r="M17" s="7" t="str">
        <f>IF(Dataset!L17&gt;=500,"high price","standard price")</f>
        <v>standard price</v>
      </c>
      <c r="O17" s="8" t="s">
        <v>51</v>
      </c>
      <c r="P17" s="8" t="str">
        <f t="shared" si="0"/>
        <v>21</v>
      </c>
      <c r="Q17" s="8" t="str">
        <f t="shared" si="1"/>
        <v>CA</v>
      </c>
      <c r="R17" s="8" t="str">
        <f>MID(Dataset!O17,4,3)</f>
        <v>AUG</v>
      </c>
    </row>
    <row r="18" spans="1:18" ht="15.75" customHeight="1" thickBot="1" x14ac:dyDescent="0.3">
      <c r="A18" s="7" t="s">
        <v>55</v>
      </c>
      <c r="B18" s="7" t="s">
        <v>47</v>
      </c>
      <c r="C18" s="7" t="s">
        <v>56</v>
      </c>
      <c r="D18" s="7">
        <v>160</v>
      </c>
      <c r="E18" s="7">
        <v>15</v>
      </c>
      <c r="F18" s="7" t="s">
        <v>10</v>
      </c>
      <c r="G18" s="7"/>
      <c r="L18" s="7">
        <v>160</v>
      </c>
      <c r="M18" s="7" t="str">
        <f>IF(Dataset!L18&gt;=500,"high price","standard price")</f>
        <v>standard price</v>
      </c>
      <c r="O18" s="7" t="s">
        <v>55</v>
      </c>
      <c r="P18" s="7" t="str">
        <f t="shared" si="0"/>
        <v>20</v>
      </c>
      <c r="Q18" s="7" t="str">
        <f t="shared" si="1"/>
        <v>CN</v>
      </c>
      <c r="R18" s="7" t="str">
        <f>MID(Dataset!O18,4,3)</f>
        <v>AUG</v>
      </c>
    </row>
    <row r="19" spans="1:18" ht="15.75" customHeight="1" thickBot="1" x14ac:dyDescent="0.3">
      <c r="A19" s="8" t="s">
        <v>57</v>
      </c>
      <c r="B19" s="8" t="s">
        <v>8</v>
      </c>
      <c r="C19" s="8" t="s">
        <v>58</v>
      </c>
      <c r="D19" s="8">
        <v>980</v>
      </c>
      <c r="E19" s="8">
        <v>10</v>
      </c>
      <c r="F19" s="8" t="s">
        <v>10</v>
      </c>
      <c r="G19" s="7"/>
      <c r="H19" s="15"/>
      <c r="I19" s="10" t="s">
        <v>120</v>
      </c>
      <c r="J19" s="12">
        <f>COUNTIF(L2:L35,"&lt;100")</f>
        <v>11</v>
      </c>
      <c r="L19" s="8">
        <v>980</v>
      </c>
      <c r="M19" s="7" t="str">
        <f>IF(Dataset!L19&gt;=500,"high price","standard price")</f>
        <v>high price</v>
      </c>
      <c r="O19" s="8" t="s">
        <v>57</v>
      </c>
      <c r="P19" s="8" t="str">
        <f t="shared" si="0"/>
        <v>27</v>
      </c>
      <c r="Q19" s="8" t="str">
        <f t="shared" si="1"/>
        <v>IT</v>
      </c>
      <c r="R19" s="8" t="str">
        <f>MID(Dataset!O19,4,3)</f>
        <v>JAN</v>
      </c>
    </row>
    <row r="20" spans="1:18" ht="15.75" customHeight="1" x14ac:dyDescent="0.25">
      <c r="A20" s="7" t="s">
        <v>59</v>
      </c>
      <c r="B20" s="7" t="s">
        <v>60</v>
      </c>
      <c r="C20" s="7" t="s">
        <v>61</v>
      </c>
      <c r="D20" s="7">
        <v>150</v>
      </c>
      <c r="E20" s="7">
        <v>15</v>
      </c>
      <c r="F20" s="7" t="s">
        <v>14</v>
      </c>
      <c r="G20" s="7"/>
      <c r="L20" s="7">
        <v>150</v>
      </c>
      <c r="M20" s="7" t="str">
        <f>IF(Dataset!L20&gt;=500,"high price","standard price")</f>
        <v>standard price</v>
      </c>
      <c r="O20" s="7" t="s">
        <v>59</v>
      </c>
      <c r="P20" s="7" t="str">
        <f t="shared" si="0"/>
        <v>01</v>
      </c>
      <c r="Q20" s="7" t="str">
        <f t="shared" si="1"/>
        <v>UK</v>
      </c>
      <c r="R20" s="7" t="str">
        <f>MID(Dataset!O20,4,3)</f>
        <v>MAR</v>
      </c>
    </row>
    <row r="21" spans="1:18" ht="15.75" customHeight="1" x14ac:dyDescent="0.25">
      <c r="A21" s="8" t="s">
        <v>62</v>
      </c>
      <c r="B21" s="8" t="s">
        <v>63</v>
      </c>
      <c r="C21" s="8" t="s">
        <v>64</v>
      </c>
      <c r="D21" s="8">
        <v>200</v>
      </c>
      <c r="E21" s="8">
        <v>10</v>
      </c>
      <c r="F21" s="8" t="s">
        <v>25</v>
      </c>
      <c r="G21" s="7"/>
      <c r="I21" s="15"/>
      <c r="L21" s="8">
        <v>200</v>
      </c>
      <c r="M21" s="7" t="str">
        <f>IF(Dataset!L21&gt;=500,"high price","standard price")</f>
        <v>standard price</v>
      </c>
      <c r="O21" s="8" t="s">
        <v>62</v>
      </c>
      <c r="P21" s="8" t="str">
        <f t="shared" si="0"/>
        <v>14</v>
      </c>
      <c r="Q21" s="8" t="str">
        <f t="shared" si="1"/>
        <v>US</v>
      </c>
      <c r="R21" s="8" t="str">
        <f>MID(Dataset!O21,4,3)</f>
        <v>AUG</v>
      </c>
    </row>
    <row r="22" spans="1:18" ht="15.75" customHeight="1" x14ac:dyDescent="0.25">
      <c r="A22" s="7" t="s">
        <v>65</v>
      </c>
      <c r="B22" s="7" t="s">
        <v>66</v>
      </c>
      <c r="C22" s="7" t="s">
        <v>67</v>
      </c>
      <c r="D22" s="7">
        <v>700</v>
      </c>
      <c r="E22" s="7">
        <v>50</v>
      </c>
      <c r="F22" s="7" t="s">
        <v>10</v>
      </c>
      <c r="G22" s="7"/>
      <c r="L22" s="7">
        <v>700</v>
      </c>
      <c r="M22" s="7" t="str">
        <f>IF(Dataset!L22&gt;=500,"high price","standard price")</f>
        <v>high price</v>
      </c>
      <c r="O22" s="7" t="s">
        <v>65</v>
      </c>
      <c r="P22" s="7" t="str">
        <f t="shared" si="0"/>
        <v>14</v>
      </c>
      <c r="Q22" s="7" t="str">
        <f t="shared" si="1"/>
        <v>RU</v>
      </c>
      <c r="R22" s="7" t="str">
        <f>MID(Dataset!O22,4,3)</f>
        <v>MAY</v>
      </c>
    </row>
    <row r="23" spans="1:18" ht="15.75" customHeight="1" x14ac:dyDescent="0.25">
      <c r="A23" s="8" t="s">
        <v>68</v>
      </c>
      <c r="B23" s="8" t="s">
        <v>69</v>
      </c>
      <c r="C23" s="8" t="s">
        <v>70</v>
      </c>
      <c r="D23" s="8">
        <v>80</v>
      </c>
      <c r="E23" s="8">
        <v>20</v>
      </c>
      <c r="F23" s="8" t="s">
        <v>18</v>
      </c>
      <c r="G23" s="7"/>
      <c r="L23" s="8">
        <v>80</v>
      </c>
      <c r="M23" s="7" t="str">
        <f>IF(Dataset!L23&gt;=500,"high price","standard price")</f>
        <v>standard price</v>
      </c>
      <c r="O23" s="8" t="s">
        <v>68</v>
      </c>
      <c r="P23" s="8" t="str">
        <f t="shared" si="0"/>
        <v>09</v>
      </c>
      <c r="Q23" s="8" t="str">
        <f t="shared" si="1"/>
        <v>CA</v>
      </c>
      <c r="R23" s="8" t="str">
        <f>MID(Dataset!O23,4,3)</f>
        <v>JAN</v>
      </c>
    </row>
    <row r="24" spans="1:18" ht="15.75" customHeight="1" x14ac:dyDescent="0.25">
      <c r="A24" s="7" t="s">
        <v>71</v>
      </c>
      <c r="B24" s="7" t="s">
        <v>72</v>
      </c>
      <c r="C24" s="7" t="s">
        <v>73</v>
      </c>
      <c r="D24" s="7">
        <v>150</v>
      </c>
      <c r="E24" s="7">
        <v>30</v>
      </c>
      <c r="F24" s="7" t="s">
        <v>10</v>
      </c>
      <c r="G24" s="7"/>
      <c r="L24" s="7">
        <v>150</v>
      </c>
      <c r="M24" s="7" t="str">
        <f>IF(Dataset!L24&gt;=500,"high price","standard price")</f>
        <v>standard price</v>
      </c>
      <c r="O24" s="7" t="s">
        <v>71</v>
      </c>
      <c r="P24" s="7" t="str">
        <f t="shared" si="0"/>
        <v>19</v>
      </c>
      <c r="Q24" s="7" t="str">
        <f t="shared" si="1"/>
        <v>BR</v>
      </c>
      <c r="R24" s="7" t="str">
        <f>MID(Dataset!O24,4,3)</f>
        <v>JUL</v>
      </c>
    </row>
    <row r="25" spans="1:18" ht="15.75" customHeight="1" x14ac:dyDescent="0.25">
      <c r="A25" s="8" t="s">
        <v>51</v>
      </c>
      <c r="B25" s="8" t="s">
        <v>52</v>
      </c>
      <c r="C25" s="8" t="s">
        <v>53</v>
      </c>
      <c r="D25" s="8">
        <v>50</v>
      </c>
      <c r="E25" s="8">
        <v>35</v>
      </c>
      <c r="F25" s="8" t="s">
        <v>54</v>
      </c>
      <c r="G25" s="9"/>
      <c r="L25" s="8">
        <v>50</v>
      </c>
      <c r="M25" s="7" t="str">
        <f>IF(Dataset!L25&gt;=500,"high price","standard price")</f>
        <v>standard price</v>
      </c>
      <c r="O25" s="8" t="s">
        <v>51</v>
      </c>
      <c r="P25" s="8" t="str">
        <f t="shared" si="0"/>
        <v>21</v>
      </c>
      <c r="Q25" s="8" t="str">
        <f t="shared" si="1"/>
        <v>CA</v>
      </c>
      <c r="R25" s="8" t="str">
        <f>MID(Dataset!O25,4,3)</f>
        <v>AUG</v>
      </c>
    </row>
    <row r="26" spans="1:18" ht="15.75" customHeight="1" x14ac:dyDescent="0.25">
      <c r="A26" s="7" t="s">
        <v>74</v>
      </c>
      <c r="B26" s="7" t="s">
        <v>20</v>
      </c>
      <c r="C26" s="7" t="s">
        <v>75</v>
      </c>
      <c r="D26" s="7">
        <v>800</v>
      </c>
      <c r="E26" s="7">
        <v>45</v>
      </c>
      <c r="F26" s="7" t="s">
        <v>10</v>
      </c>
      <c r="G26" s="7"/>
      <c r="L26" s="7">
        <v>800</v>
      </c>
      <c r="M26" s="7" t="str">
        <f>IF(Dataset!L26&gt;=500,"high price","standard price")</f>
        <v>high price</v>
      </c>
      <c r="O26" s="7" t="s">
        <v>74</v>
      </c>
      <c r="P26" s="7" t="str">
        <f t="shared" si="0"/>
        <v>29</v>
      </c>
      <c r="Q26" s="7" t="str">
        <f t="shared" si="1"/>
        <v>CA</v>
      </c>
      <c r="R26" s="7" t="str">
        <f>MID(Dataset!O26,4,3)</f>
        <v>SEP</v>
      </c>
    </row>
    <row r="27" spans="1:18" ht="15.75" customHeight="1" x14ac:dyDescent="0.25">
      <c r="A27" s="8" t="s">
        <v>76</v>
      </c>
      <c r="B27" s="8" t="s">
        <v>60</v>
      </c>
      <c r="C27" s="8" t="s">
        <v>77</v>
      </c>
      <c r="D27" s="8">
        <v>130</v>
      </c>
      <c r="E27" s="8">
        <v>25</v>
      </c>
      <c r="F27" s="8" t="s">
        <v>14</v>
      </c>
      <c r="G27" s="7"/>
      <c r="L27" s="8">
        <v>130</v>
      </c>
      <c r="M27" s="7" t="str">
        <f>IF(Dataset!L27&gt;=500,"high price","standard price")</f>
        <v>standard price</v>
      </c>
      <c r="O27" s="8" t="s">
        <v>76</v>
      </c>
      <c r="P27" s="8" t="str">
        <f t="shared" si="0"/>
        <v>03</v>
      </c>
      <c r="Q27" s="8" t="str">
        <f t="shared" si="1"/>
        <v>CA</v>
      </c>
      <c r="R27" s="8" t="str">
        <f>MID(Dataset!O27,4,3)</f>
        <v>JUN</v>
      </c>
    </row>
    <row r="28" spans="1:18" ht="15.75" customHeight="1" x14ac:dyDescent="0.25">
      <c r="A28" s="7" t="s">
        <v>78</v>
      </c>
      <c r="B28" s="7" t="s">
        <v>33</v>
      </c>
      <c r="C28" s="7" t="s">
        <v>79</v>
      </c>
      <c r="D28" s="7">
        <v>400</v>
      </c>
      <c r="E28" s="7">
        <v>40</v>
      </c>
      <c r="F28" s="7" t="s">
        <v>18</v>
      </c>
      <c r="G28" s="7"/>
      <c r="L28" s="7">
        <v>400</v>
      </c>
      <c r="M28" s="7" t="str">
        <f>IF(Dataset!L28&gt;=500,"high price","standard price")</f>
        <v>standard price</v>
      </c>
      <c r="O28" s="7" t="s">
        <v>78</v>
      </c>
      <c r="P28" s="7" t="str">
        <f t="shared" si="0"/>
        <v>11</v>
      </c>
      <c r="Q28" s="7" t="str">
        <f t="shared" si="1"/>
        <v>CA</v>
      </c>
      <c r="R28" s="7" t="str">
        <f>MID(Dataset!O28,4,3)</f>
        <v>JUL</v>
      </c>
    </row>
    <row r="29" spans="1:18" ht="15.75" customHeight="1" x14ac:dyDescent="0.25">
      <c r="A29" s="8" t="s">
        <v>49</v>
      </c>
      <c r="B29" s="8" t="s">
        <v>27</v>
      </c>
      <c r="C29" s="8" t="s">
        <v>50</v>
      </c>
      <c r="D29" s="8">
        <v>230</v>
      </c>
      <c r="E29" s="8">
        <v>20</v>
      </c>
      <c r="F29" s="8" t="s">
        <v>10</v>
      </c>
      <c r="G29" s="9"/>
      <c r="L29" s="8">
        <v>230</v>
      </c>
      <c r="M29" s="7" t="str">
        <f>IF(Dataset!L29&gt;=500,"high price","standard price")</f>
        <v>standard price</v>
      </c>
      <c r="O29" s="8" t="s">
        <v>49</v>
      </c>
      <c r="P29" s="8" t="str">
        <f t="shared" si="0"/>
        <v>16</v>
      </c>
      <c r="Q29" s="8" t="str">
        <f t="shared" si="1"/>
        <v>ES</v>
      </c>
      <c r="R29" s="8" t="str">
        <f>MID(Dataset!O29,4,3)</f>
        <v>APR</v>
      </c>
    </row>
    <row r="30" spans="1:18" ht="15.75" customHeight="1" x14ac:dyDescent="0.25">
      <c r="A30" s="7" t="s">
        <v>80</v>
      </c>
      <c r="B30" s="7" t="s">
        <v>81</v>
      </c>
      <c r="C30" s="7" t="s">
        <v>82</v>
      </c>
      <c r="D30" s="7">
        <v>60</v>
      </c>
      <c r="E30" s="7">
        <v>30</v>
      </c>
      <c r="F30" s="7" t="s">
        <v>14</v>
      </c>
      <c r="G30" s="7"/>
      <c r="L30" s="7">
        <v>60</v>
      </c>
      <c r="M30" s="7" t="str">
        <f>IF(Dataset!L30&gt;=500,"high price","standard price")</f>
        <v>standard price</v>
      </c>
      <c r="O30" s="7" t="s">
        <v>80</v>
      </c>
      <c r="P30" s="7" t="str">
        <f t="shared" si="0"/>
        <v>07</v>
      </c>
      <c r="Q30" s="7" t="str">
        <f t="shared" si="1"/>
        <v>CA</v>
      </c>
      <c r="R30" s="7" t="str">
        <f>MID(Dataset!O30,4,3)</f>
        <v>MAR</v>
      </c>
    </row>
    <row r="31" spans="1:18" ht="15.75" customHeight="1" x14ac:dyDescent="0.25">
      <c r="A31" s="8" t="s">
        <v>83</v>
      </c>
      <c r="B31" s="8" t="s">
        <v>84</v>
      </c>
      <c r="C31" s="8" t="s">
        <v>85</v>
      </c>
      <c r="D31" s="8">
        <v>40</v>
      </c>
      <c r="E31" s="8">
        <v>10</v>
      </c>
      <c r="F31" s="8" t="s">
        <v>18</v>
      </c>
      <c r="G31" s="7"/>
      <c r="L31" s="8">
        <v>40</v>
      </c>
      <c r="M31" s="7" t="str">
        <f>IF(Dataset!L31&gt;=500,"high price","standard price")</f>
        <v>standard price</v>
      </c>
      <c r="O31" s="8" t="s">
        <v>83</v>
      </c>
      <c r="P31" s="8" t="str">
        <f t="shared" si="0"/>
        <v>13</v>
      </c>
      <c r="Q31" s="8" t="str">
        <f t="shared" si="1"/>
        <v>CA</v>
      </c>
      <c r="R31" s="8" t="str">
        <f>MID(Dataset!O31,4,3)</f>
        <v>APR</v>
      </c>
    </row>
    <row r="32" spans="1:18" ht="15.75" customHeight="1" x14ac:dyDescent="0.25">
      <c r="A32" s="7" t="s">
        <v>86</v>
      </c>
      <c r="B32" s="7" t="s">
        <v>72</v>
      </c>
      <c r="C32" s="7" t="s">
        <v>87</v>
      </c>
      <c r="D32" s="7">
        <v>130</v>
      </c>
      <c r="E32" s="7">
        <v>5</v>
      </c>
      <c r="F32" s="7" t="s">
        <v>10</v>
      </c>
      <c r="G32" s="7"/>
      <c r="L32" s="7">
        <v>130</v>
      </c>
      <c r="M32" s="7" t="str">
        <f>IF(Dataset!L32&gt;=500,"high price","standard price")</f>
        <v>standard price</v>
      </c>
      <c r="O32" s="7" t="s">
        <v>86</v>
      </c>
      <c r="P32" s="7" t="str">
        <f t="shared" si="0"/>
        <v>24</v>
      </c>
      <c r="Q32" s="7" t="str">
        <f t="shared" si="1"/>
        <v>CA</v>
      </c>
      <c r="R32" s="7" t="str">
        <f>MID(Dataset!O32,4,3)</f>
        <v>MAY</v>
      </c>
    </row>
    <row r="33" spans="1:18" ht="15.75" customHeight="1" x14ac:dyDescent="0.25">
      <c r="A33" s="8" t="s">
        <v>88</v>
      </c>
      <c r="B33" s="8" t="s">
        <v>89</v>
      </c>
      <c r="C33" s="8" t="s">
        <v>90</v>
      </c>
      <c r="D33" s="8">
        <v>50</v>
      </c>
      <c r="E33" s="8">
        <v>50</v>
      </c>
      <c r="F33" s="8" t="s">
        <v>14</v>
      </c>
      <c r="G33" s="7"/>
      <c r="L33" s="8">
        <v>50</v>
      </c>
      <c r="M33" s="7" t="str">
        <f>IF(Dataset!L33&gt;=500,"high price","standard price")</f>
        <v>standard price</v>
      </c>
      <c r="O33" s="8" t="s">
        <v>88</v>
      </c>
      <c r="P33" s="8" t="str">
        <f t="shared" si="0"/>
        <v>02</v>
      </c>
      <c r="Q33" s="8" t="str">
        <f t="shared" si="1"/>
        <v>CA</v>
      </c>
      <c r="R33" s="8" t="str">
        <f>MID(Dataset!O33,4,3)</f>
        <v>DEC</v>
      </c>
    </row>
    <row r="34" spans="1:18" ht="15.75" customHeight="1" x14ac:dyDescent="0.25">
      <c r="A34" s="7" t="s">
        <v>41</v>
      </c>
      <c r="B34" s="7" t="s">
        <v>8</v>
      </c>
      <c r="C34" s="7" t="s">
        <v>42</v>
      </c>
      <c r="D34" s="7">
        <v>950</v>
      </c>
      <c r="E34" s="7">
        <v>25</v>
      </c>
      <c r="F34" s="7" t="s">
        <v>10</v>
      </c>
      <c r="G34" s="7"/>
      <c r="L34" s="7">
        <v>950</v>
      </c>
      <c r="M34" s="7" t="str">
        <f>IF(Dataset!L34&gt;=500,"high price","standard price")</f>
        <v>high price</v>
      </c>
      <c r="O34" s="7" t="s">
        <v>41</v>
      </c>
      <c r="P34" s="7" t="str">
        <f t="shared" si="0"/>
        <v>17</v>
      </c>
      <c r="Q34" s="7" t="str">
        <f t="shared" si="1"/>
        <v>IN</v>
      </c>
      <c r="R34" s="7" t="str">
        <f>MID(Dataset!O34,4,3)</f>
        <v>JUN</v>
      </c>
    </row>
    <row r="35" spans="1:18" ht="15.75" customHeight="1" x14ac:dyDescent="0.25">
      <c r="A35" s="8" t="s">
        <v>91</v>
      </c>
      <c r="B35" s="8" t="s">
        <v>92</v>
      </c>
      <c r="C35" s="8" t="s">
        <v>93</v>
      </c>
      <c r="D35" s="8">
        <v>100</v>
      </c>
      <c r="E35" s="8">
        <v>20</v>
      </c>
      <c r="F35" s="8" t="s">
        <v>54</v>
      </c>
      <c r="G35" s="7"/>
      <c r="L35" s="8">
        <v>100</v>
      </c>
      <c r="M35" s="7" t="str">
        <f>IF(Dataset!L35&gt;=500,"high price","standard price")</f>
        <v>standard price</v>
      </c>
      <c r="O35" s="8" t="s">
        <v>91</v>
      </c>
      <c r="P35" s="8" t="str">
        <f t="shared" si="0"/>
        <v>09</v>
      </c>
      <c r="Q35" s="8" t="str">
        <f t="shared" si="1"/>
        <v>FR</v>
      </c>
      <c r="R35" s="8" t="str">
        <f>MID(Dataset!O35,4,3)</f>
        <v>JUL</v>
      </c>
    </row>
    <row r="36" spans="1:18" ht="15.75" customHeight="1" x14ac:dyDescent="0.25"/>
    <row r="37" spans="1:18" ht="15.75" customHeight="1" x14ac:dyDescent="0.25"/>
    <row r="38" spans="1:18" ht="15.75" customHeight="1" x14ac:dyDescent="0.25"/>
    <row r="39" spans="1:18" ht="15.75" customHeight="1" x14ac:dyDescent="0.25"/>
    <row r="40" spans="1:18" ht="15.75" customHeight="1" x14ac:dyDescent="0.25"/>
    <row r="41" spans="1:18" ht="15.75" customHeight="1" x14ac:dyDescent="0.25"/>
    <row r="42" spans="1:18" ht="15.75" customHeight="1" x14ac:dyDescent="0.25"/>
    <row r="43" spans="1:18" ht="15.75" customHeight="1" x14ac:dyDescent="0.25"/>
    <row r="44" spans="1:18" ht="15.75" customHeight="1" x14ac:dyDescent="0.25"/>
    <row r="45" spans="1:18" ht="15.75" customHeight="1" x14ac:dyDescent="0.25"/>
    <row r="46" spans="1:18" ht="15.75" customHeight="1" x14ac:dyDescent="0.25"/>
    <row r="47" spans="1:18" ht="15.75" customHeight="1" x14ac:dyDescent="0.25"/>
    <row r="48" spans="1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J6" sqref="J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94</v>
      </c>
    </row>
    <row r="2" spans="1:3" ht="15.75" customHeight="1" x14ac:dyDescent="0.25"/>
    <row r="3" spans="1:3" ht="15.75" customHeight="1" x14ac:dyDescent="0.3">
      <c r="B3" s="2" t="s">
        <v>95</v>
      </c>
    </row>
    <row r="4" spans="1:3" ht="15.75" customHeight="1" x14ac:dyDescent="0.3">
      <c r="B4" s="2"/>
      <c r="C4" s="3" t="s">
        <v>96</v>
      </c>
    </row>
    <row r="5" spans="1:3" ht="15.75" customHeight="1" x14ac:dyDescent="0.3">
      <c r="B5" s="2"/>
      <c r="C5" s="3" t="s">
        <v>97</v>
      </c>
    </row>
    <row r="6" spans="1:3" ht="15.75" customHeight="1" x14ac:dyDescent="0.3">
      <c r="B6" s="2"/>
      <c r="C6" s="3" t="s">
        <v>98</v>
      </c>
    </row>
    <row r="7" spans="1:3" ht="15.75" customHeight="1" x14ac:dyDescent="0.3">
      <c r="B7" s="4"/>
    </row>
    <row r="8" spans="1:3" ht="15.75" customHeight="1" x14ac:dyDescent="0.3">
      <c r="B8" s="2" t="s">
        <v>99</v>
      </c>
    </row>
    <row r="9" spans="1:3" ht="15.75" customHeight="1" x14ac:dyDescent="0.3">
      <c r="C9" s="3" t="s">
        <v>100</v>
      </c>
    </row>
    <row r="10" spans="1:3" ht="15.75" customHeight="1" x14ac:dyDescent="0.3">
      <c r="C10" s="3" t="s">
        <v>101</v>
      </c>
    </row>
    <row r="11" spans="1:3" ht="15.75" customHeight="1" x14ac:dyDescent="0.3">
      <c r="B11" s="4"/>
    </row>
    <row r="12" spans="1:3" ht="15.75" customHeight="1" x14ac:dyDescent="0.3">
      <c r="B12" s="2" t="s">
        <v>102</v>
      </c>
    </row>
    <row r="13" spans="1:3" ht="15.75" customHeight="1" x14ac:dyDescent="0.3">
      <c r="C13" s="3" t="s">
        <v>103</v>
      </c>
    </row>
    <row r="14" spans="1:3" ht="15.75" customHeight="1" x14ac:dyDescent="0.3">
      <c r="B14" s="4"/>
    </row>
    <row r="15" spans="1:3" ht="15.75" customHeight="1" x14ac:dyDescent="0.3">
      <c r="B15" s="2" t="s">
        <v>104</v>
      </c>
    </row>
    <row r="16" spans="1:3" ht="15.75" customHeight="1" x14ac:dyDescent="0.3">
      <c r="C16" s="3" t="s">
        <v>105</v>
      </c>
    </row>
    <row r="17" spans="2:3" ht="15.75" customHeight="1" x14ac:dyDescent="0.3">
      <c r="C17" s="3" t="s">
        <v>106</v>
      </c>
    </row>
    <row r="18" spans="2:3" ht="15.75" customHeight="1" x14ac:dyDescent="0.3">
      <c r="B18" s="4"/>
    </row>
    <row r="19" spans="2:3" ht="15.75" customHeight="1" x14ac:dyDescent="0.3">
      <c r="B19" s="2" t="s">
        <v>107</v>
      </c>
    </row>
    <row r="20" spans="2:3" ht="15.75" customHeight="1" x14ac:dyDescent="0.3">
      <c r="C20" s="3" t="s">
        <v>108</v>
      </c>
    </row>
    <row r="21" spans="2:3" ht="15.75" customHeight="1" x14ac:dyDescent="0.3">
      <c r="C21" s="3" t="s">
        <v>109</v>
      </c>
    </row>
    <row r="22" spans="2:3" ht="15.75" customHeight="1" x14ac:dyDescent="0.3">
      <c r="C22" s="3" t="s">
        <v>110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yasodhasivakumar98@outlook.com</cp:lastModifiedBy>
  <cp:revision/>
  <dcterms:created xsi:type="dcterms:W3CDTF">2025-08-14T14:22:32Z</dcterms:created>
  <dcterms:modified xsi:type="dcterms:W3CDTF">2025-08-20T13:27:24Z</dcterms:modified>
  <cp:category/>
  <cp:contentStatus/>
</cp:coreProperties>
</file>
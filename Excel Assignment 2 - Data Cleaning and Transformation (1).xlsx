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B19F93520A346A65/Documents/"/>
    </mc:Choice>
  </mc:AlternateContent>
  <xr:revisionPtr revIDLastSave="0" documentId="8_{CE27237C-40C4-4154-903E-616A66EE41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set 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G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B7" i="3"/>
  <c r="B8" i="3"/>
  <c r="B9" i="3"/>
  <c r="B5" i="3"/>
  <c r="B6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5" i="3"/>
</calcChain>
</file>

<file path=xl/sharedStrings.xml><?xml version="1.0" encoding="utf-8"?>
<sst xmlns="http://schemas.openxmlformats.org/spreadsheetml/2006/main" count="255" uniqueCount="127">
  <si>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</si>
  <si>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</si>
  <si>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</si>
  <si>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</si>
  <si>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</si>
  <si>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</si>
  <si>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</si>
  <si>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</si>
  <si>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</si>
  <si>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</si>
  <si>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</si>
  <si>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</si>
  <si>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</si>
  <si>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</si>
  <si>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</si>
  <si>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</si>
  <si>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</si>
  <si>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</si>
  <si>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</si>
  <si>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</si>
  <si>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</si>
  <si>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</si>
  <si>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</si>
  <si>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</si>
  <si>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</si>
  <si>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</si>
  <si>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</si>
  <si>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</si>
  <si>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</si>
  <si>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</si>
  <si>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</si>
  <si>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</si>
  <si>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</si>
  <si>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</si>
  <si>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</si>
  <si>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</si>
  <si>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</si>
  <si>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</si>
  <si>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</si>
  <si>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</si>
  <si>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</si>
  <si>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</si>
  <si>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</si>
  <si>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</si>
  <si>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</si>
  <si>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</si>
  <si>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</si>
  <si>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</si>
  <si>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</si>
  <si>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</si>
  <si>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</si>
  <si>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</si>
  <si>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</si>
  <si>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</si>
  <si>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</si>
  <si>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</si>
  <si>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</si>
  <si>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</si>
  <si>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</si>
  <si>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</si>
  <si>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</si>
  <si>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</si>
  <si>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</si>
  <si>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</si>
  <si>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</si>
  <si>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</si>
  <si>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</si>
  <si>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</si>
  <si>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</si>
  <si>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</si>
  <si>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</si>
  <si>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</si>
  <si>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</si>
  <si>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</si>
  <si>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</si>
  <si>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</si>
  <si>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</si>
  <si>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</si>
  <si>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</si>
  <si>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</si>
  <si>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</si>
  <si>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</si>
  <si>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</si>
  <si>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</si>
  <si>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</si>
  <si>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</si>
  <si>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</si>
  <si>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</si>
  <si>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</si>
  <si>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</si>
  <si>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</si>
  <si>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</si>
  <si>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</si>
  <si>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</si>
  <si>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</si>
  <si>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</si>
  <si>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</si>
  <si>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</si>
  <si>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</si>
  <si>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</si>
  <si>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</si>
  <si>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</si>
  <si>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</si>
  <si>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</si>
  <si>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</si>
  <si>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</si>
  <si>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</si>
  <si>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</si>
  <si>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</si>
  <si>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</si>
  <si>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</si>
  <si>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</si>
  <si>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</si>
  <si>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</si>
  <si>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</si>
  <si>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</si>
  <si>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Values</t>
  </si>
  <si>
    <t xml:space="preserve"> </t>
  </si>
  <si>
    <t>unknown</t>
  </si>
  <si>
    <t>Manufacturing Date</t>
  </si>
  <si>
    <t>Country Code</t>
  </si>
  <si>
    <t>Correcting Inconsistent Data</t>
  </si>
  <si>
    <t>Price($)</t>
  </si>
  <si>
    <t>ProductBrand</t>
  </si>
  <si>
    <t xml:space="preserve">                  Splitting and Merging Data</t>
  </si>
  <si>
    <t xml:space="preserve">     Number Formatting</t>
  </si>
  <si>
    <t xml:space="preserve">       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</si>
</sst>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yy;@"/>
    <numFmt numFmtId="165" formatCode="[$$-409]#,##0.00"/>
    <numFmt numFmtId="166" formatCode="&quot;₹&quot;\ #,##0.00"/>
    <numFmt numFmtId="167" formatCode="dd/mm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6E0226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0" fontId="8" fillId="3" borderId="0" xfId="0" applyFont="1" applyFill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2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2" fontId="5" fillId="0" borderId="4" xfId="0" applyNumberFormat="1" applyFont="1" applyBorder="1"/>
    <xf numFmtId="166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4" fillId="0" borderId="5" xfId="0" applyFont="1" applyBorder="1"/>
    <xf numFmtId="0" fontId="13" fillId="0" borderId="4" xfId="0" applyFont="1" applyBorder="1"/>
    <xf numFmtId="0" fontId="12" fillId="0" borderId="5" xfId="0" applyFont="1" applyBorder="1"/>
    <xf numFmtId="0" fontId="12" fillId="0" borderId="4" xfId="0" applyFont="1" applyBorder="1"/>
    <xf numFmtId="0" fontId="0" fillId="0" borderId="6" xfId="0" applyBorder="1"/>
    <xf numFmtId="0" fontId="0" fillId="0" borderId="4" xfId="0" applyBorder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numFmt numFmtId="167" formatCode="dd/mm"/>
      <alignment horizontal="center" vertical="bottom" textRotation="0" wrapText="0" indent="0" justifyLastLine="0" shrinkToFit="0" readingOrder="0"/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E0F7FA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rgb="FFE0F7FA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E0F7FA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E0226"/>
      <color rgb="FFFFEC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7A2BD-6473-4CDB-AD93-4FA9092F6EFD}" name="Table1" displayName="Table1" ref="A4:B35" totalsRowShown="0" headerRowDxfId="27" dataDxfId="25" headerRowBorderDxfId="26" tableBorderDxfId="24" totalsRowBorderDxfId="23">
  <autoFilter ref="A4:B35" xr:uid="{CA27A2BD-6473-4CDB-AD93-4FA9092F6EFD}"/>
  <tableColumns count="2">
    <tableColumn id="1" xr3:uid="{A14F6717-F575-4F58-9368-C853E9C43342}" name="Price ($)" dataDxfId="22">
      <calculatedColumnFormula>IF(ISBLANK(Dataset!D2),AVERAGE(Dataset!$D$2:$D$32),Dataset!D2)</calculatedColumnFormula>
    </tableColumn>
    <tableColumn id="2" xr3:uid="{028CC954-3C96-4607-AEBE-883CD6D4AC1F}" name="Category" dataDxfId="21">
      <calculatedColumnFormula>IF(ISBLANK(Dataset!F2),"unknown",Dataset!F2)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34232D-AFAD-4856-B9CB-909D4431A3B3}" name="Table2" displayName="Table2" ref="D4:D35" totalsRowShown="0" headerRowDxfId="20" dataDxfId="18" headerRowBorderDxfId="19" tableBorderDxfId="17" totalsRowBorderDxfId="16">
  <autoFilter ref="D4:D35" xr:uid="{E834232D-AFAD-4856-B9CB-909D4431A3B3}"/>
  <tableColumns count="1">
    <tableColumn id="1" xr3:uid="{F14625C3-A766-48F8-8DB0-2B4678AF2A5D}" name="Product Name" dataDxfId="15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CCCB24-4793-4756-BDF0-AFB461C37946}" name="Table3" displayName="Table3" ref="E4:E35" totalsRowShown="0" headerRowDxfId="14" dataDxfId="12" headerRowBorderDxfId="13">
  <autoFilter ref="E4:E35" xr:uid="{CECCCB24-4793-4756-BDF0-AFB461C37946}"/>
  <tableColumns count="1">
    <tableColumn id="1" xr3:uid="{FA17AF00-2472-4150-B259-A81FCA168C0D}" name="Category" dataDxfId="11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4EBA42-ED72-434C-8C4F-E2B71E19AF39}" name="Table4" displayName="Table4" ref="N4:O35" totalsRowShown="0" headerRowDxfId="10">
  <autoFilter ref="N4:O35" xr:uid="{E94EBA42-ED72-434C-8C4F-E2B71E19AF39}"/>
  <tableColumns count="2">
    <tableColumn id="1" xr3:uid="{986CF4E4-478A-44E9-8769-4F5AEA1680DA}" name="Price ($)" dataDxfId="9"/>
    <tableColumn id="2" xr3:uid="{EA65D3A6-CC16-4AEE-BFCC-55D9C247BB79}" name="Category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4E568B-7761-47FB-BAA3-F3C0ECE98DF5}" name="Table5" displayName="Table5" ref="K4:L35" totalsRowShown="0" headerRowDxfId="8">
  <autoFilter ref="K4:L35" xr:uid="{694E568B-7761-47FB-BAA3-F3C0ECE98DF5}"/>
  <tableColumns count="2">
    <tableColumn id="1" xr3:uid="{BA93F5F1-FA4B-4AFA-958D-572E6426A009}" name="Price($)" dataDxfId="7"/>
    <tableColumn id="2" xr3:uid="{E97FAACF-38A9-44D4-8085-0B5DF36C2423}" name="Manufacturing Date" dataDxfId="6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33B5B2-BD6D-480A-86E8-484F983E0B6E}" name="Table6" displayName="Table6" ref="G4:I35" totalsRowShown="0" headerRowDxfId="5">
  <autoFilter ref="G4:I35" xr:uid="{DC33B5B2-BD6D-480A-86E8-484F983E0B6E}"/>
  <tableColumns count="3">
    <tableColumn id="1" xr3:uid="{88F06B42-421E-42C2-8E4C-752E483DA610}" name="Manufacturing Date" dataDxfId="4">
      <calculatedColumnFormula>LEFT(Dataset!A2,LEN(Dataset!A2)-3)</calculatedColumnFormula>
    </tableColumn>
    <tableColumn id="2" xr3:uid="{596664A1-E70B-4E4E-9DF6-2F815E2AA3F0}" name="Country Code" dataDxfId="3">
      <calculatedColumnFormula>RIGHT(Dataset!A2,LEN(Dataset!A2)-7)</calculatedColumnFormula>
    </tableColumn>
    <tableColumn id="3" xr3:uid="{6257FA65-8CC1-475F-A0AA-D5DF17F8DEF5}" name="ProductBrand" dataDxfId="2">
      <calculatedColumnFormula>CONCATENATE(Table2[[#This Row],[Product Name]],"-",Dataset!C2)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E28" sqref="E2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>
      <c r="H29" s="11" t="s">
        <v>117</v>
      </c>
    </row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topLeftCell="A3" workbookViewId="0">
      <selection sqref="A1:F32"/>
    </sheetView>
  </sheetViews>
  <sheetFormatPr defaultColWidth="12.6640625" defaultRowHeight="15" customHeight="1" x14ac:dyDescent="0.25"/>
  <cols>
    <col min="1" max="6" width="12.6640625" customWidth="1"/>
    <col min="11" max="11" width="12.6640625" customWidth="1"/>
    <col min="14" max="14" width="25.6640625" bestFit="1" customWidth="1"/>
    <col min="18" max="18" width="18.21875" style="15" bestFit="1" customWidth="1"/>
    <col min="21" max="21" width="21.44140625" bestFit="1" customWidth="1"/>
    <col min="23" max="23" width="13.44140625" style="16" customWidth="1"/>
    <col min="24" max="24" width="19.6640625" style="17" customWidth="1"/>
  </cols>
  <sheetData>
    <row r="1" spans="1:24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H1" s="9"/>
      <c r="R1"/>
      <c r="W1"/>
      <c r="X1"/>
    </row>
    <row r="2" spans="1:24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R2"/>
      <c r="W2"/>
      <c r="X2"/>
    </row>
    <row r="3" spans="1:24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R3"/>
      <c r="W3"/>
      <c r="X3"/>
    </row>
    <row r="4" spans="1:24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s="13"/>
      <c r="H4" s="12"/>
      <c r="K4" s="13"/>
      <c r="L4" s="14"/>
      <c r="R4"/>
      <c r="W4"/>
      <c r="X4"/>
    </row>
    <row r="5" spans="1:24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10" t="s">
        <v>28</v>
      </c>
      <c r="H5" s="12"/>
      <c r="R5"/>
      <c r="W5"/>
      <c r="X5"/>
    </row>
    <row r="6" spans="1:24" ht="15.6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R6"/>
      <c r="W6"/>
      <c r="X6"/>
    </row>
    <row r="7" spans="1:24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  <c r="R7"/>
      <c r="W7"/>
      <c r="X7"/>
    </row>
    <row r="8" spans="1:24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R8"/>
      <c r="W8"/>
      <c r="X8"/>
    </row>
    <row r="9" spans="1:24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R9"/>
      <c r="W9"/>
      <c r="X9"/>
    </row>
    <row r="10" spans="1:24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R10"/>
      <c r="W10"/>
      <c r="X10"/>
    </row>
    <row r="11" spans="1:24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R11"/>
      <c r="W11"/>
      <c r="X11"/>
    </row>
    <row r="12" spans="1:24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R12"/>
      <c r="W12"/>
      <c r="X12"/>
    </row>
    <row r="13" spans="1:24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R13"/>
      <c r="W13"/>
      <c r="X13"/>
    </row>
    <row r="14" spans="1:24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R14"/>
      <c r="W14"/>
      <c r="X14"/>
    </row>
    <row r="15" spans="1:24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28</v>
      </c>
      <c r="R15"/>
      <c r="W15"/>
      <c r="X15"/>
    </row>
    <row r="16" spans="1:24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  <c r="R16"/>
      <c r="W16"/>
      <c r="X16"/>
    </row>
    <row r="17" spans="1:24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R17"/>
      <c r="W17"/>
      <c r="X17"/>
    </row>
    <row r="18" spans="1:24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  <c r="R18"/>
      <c r="W18"/>
      <c r="X18"/>
    </row>
    <row r="19" spans="1:24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R19"/>
      <c r="W19"/>
      <c r="X19"/>
    </row>
    <row r="20" spans="1:24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R20"/>
      <c r="W20"/>
      <c r="X20"/>
    </row>
    <row r="21" spans="1:24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R21"/>
      <c r="W21"/>
      <c r="X21"/>
    </row>
    <row r="22" spans="1:24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R22"/>
      <c r="W22"/>
      <c r="X22"/>
    </row>
    <row r="23" spans="1:24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R23"/>
      <c r="W23"/>
      <c r="X23"/>
    </row>
    <row r="24" spans="1:24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R24"/>
      <c r="W24"/>
      <c r="X24"/>
    </row>
    <row r="25" spans="1:24" ht="15.75" customHeight="1" x14ac:dyDescent="0.25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  <c r="R25"/>
      <c r="W25"/>
      <c r="X25"/>
    </row>
    <row r="26" spans="1:24" ht="15.75" customHeight="1" x14ac:dyDescent="0.25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  <c r="R26"/>
      <c r="W26"/>
      <c r="X26"/>
    </row>
    <row r="27" spans="1:24" ht="15.75" customHeight="1" x14ac:dyDescent="0.25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  <c r="R27"/>
      <c r="W27"/>
      <c r="X27"/>
    </row>
    <row r="28" spans="1:24" ht="15.75" customHeight="1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  <c r="R28"/>
      <c r="W28"/>
      <c r="X28"/>
    </row>
    <row r="29" spans="1:24" ht="15.75" customHeight="1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  <c r="R29"/>
      <c r="W29"/>
      <c r="X29"/>
    </row>
    <row r="30" spans="1:24" ht="15.75" customHeight="1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  <c r="R30"/>
      <c r="W30"/>
      <c r="X30"/>
    </row>
    <row r="31" spans="1:24" ht="15.75" customHeight="1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  <c r="R31"/>
      <c r="W31"/>
      <c r="X31"/>
    </row>
    <row r="32" spans="1:24" ht="15.75" customHeight="1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  <c r="R32"/>
      <c r="W32"/>
      <c r="X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P33:P1048576">
    <cfRule type="containsText" dxfId="1" priority="1" operator="containsText" text="electronics">
      <formula>NOT(ISERROR(SEARCH("electronics",P33)))</formula>
    </cfRule>
  </conditionalFormatting>
  <conditionalFormatting sqref="W33:W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{A323C194-F4BF-4ECC-9E9A-CC33B25C617D}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23C194-F4BF-4ECC-9E9A-CC33B25C61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W33:W1048576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4904-1BCE-4C50-AA6D-BA95395563CF}">
  <dimension ref="A1:Q35"/>
  <sheetViews>
    <sheetView tabSelected="1" workbookViewId="0">
      <selection activeCell="M3" sqref="M3"/>
    </sheetView>
  </sheetViews>
  <sheetFormatPr defaultRowHeight="13.2" x14ac:dyDescent="0.25"/>
  <cols>
    <col min="1" max="1" width="16.33203125" customWidth="1"/>
    <col min="2" max="2" width="16" customWidth="1"/>
    <col min="4" max="4" width="17.77734375" customWidth="1"/>
    <col min="5" max="5" width="18.6640625" customWidth="1"/>
    <col min="7" max="7" width="19.88671875" customWidth="1"/>
    <col min="8" max="8" width="15.109375" customWidth="1"/>
    <col min="9" max="9" width="23.6640625" customWidth="1"/>
    <col min="11" max="11" width="14.5546875" customWidth="1"/>
    <col min="12" max="12" width="21" customWidth="1"/>
    <col min="14" max="14" width="24.21875" customWidth="1"/>
    <col min="15" max="15" width="15.33203125" customWidth="1"/>
  </cols>
  <sheetData>
    <row r="1" spans="1:17" ht="17.399999999999999" x14ac:dyDescent="0.3">
      <c r="H1" s="18"/>
      <c r="K1" s="12"/>
      <c r="N1" s="12"/>
    </row>
    <row r="2" spans="1:17" ht="17.399999999999999" x14ac:dyDescent="0.3">
      <c r="A2" s="29" t="s">
        <v>116</v>
      </c>
      <c r="B2" s="30"/>
      <c r="C2" s="11"/>
      <c r="D2" s="31" t="s">
        <v>121</v>
      </c>
      <c r="E2" s="32"/>
      <c r="F2" s="11"/>
      <c r="G2" s="31" t="s">
        <v>124</v>
      </c>
      <c r="H2" s="33"/>
      <c r="I2" s="34"/>
      <c r="K2" s="31" t="s">
        <v>125</v>
      </c>
      <c r="L2" s="34"/>
      <c r="N2" s="31" t="s">
        <v>126</v>
      </c>
      <c r="O2" s="34"/>
      <c r="Q2" s="18"/>
    </row>
    <row r="4" spans="1:17" x14ac:dyDescent="0.25">
      <c r="A4" s="28" t="s">
        <v>22</v>
      </c>
      <c r="B4" s="27" t="s">
        <v>24</v>
      </c>
      <c r="D4" s="26" t="s">
        <v>20</v>
      </c>
      <c r="E4" s="26" t="s">
        <v>24</v>
      </c>
      <c r="G4" s="36" t="s">
        <v>119</v>
      </c>
      <c r="H4" s="36" t="s">
        <v>120</v>
      </c>
      <c r="I4" s="36" t="s">
        <v>123</v>
      </c>
      <c r="K4" s="35" t="s">
        <v>122</v>
      </c>
      <c r="L4" s="35" t="s">
        <v>119</v>
      </c>
      <c r="N4" s="37" t="s">
        <v>22</v>
      </c>
      <c r="O4" s="37" t="s">
        <v>24</v>
      </c>
    </row>
    <row r="5" spans="1:17" x14ac:dyDescent="0.25">
      <c r="A5" s="22">
        <f>IF(ISBLANK(Dataset!D2),AVERAGE(Dataset!$D$2:$D$32),Dataset!D2)</f>
        <v>1000</v>
      </c>
      <c r="B5" s="19" t="str">
        <f>IF(ISBLANK(Dataset!F2),"unknown",Dataset!F2)</f>
        <v>Electronics</v>
      </c>
      <c r="D5" s="20" t="s">
        <v>61</v>
      </c>
      <c r="E5" s="20" t="s">
        <v>28</v>
      </c>
      <c r="G5" s="25" t="str">
        <f>LEFT(Dataset!A2,LEN(Dataset!A2)-3)</f>
        <v>28-JAN</v>
      </c>
      <c r="H5" s="25" t="str">
        <f>RIGHT(Dataset!A2,LEN(Dataset!A2)-7)</f>
        <v>US</v>
      </c>
      <c r="I5" t="str">
        <f>CONCATENATE(Table2[[#This Row],[Product Name]],"-",Dataset!C2)</f>
        <v>Laptop-Dell</v>
      </c>
      <c r="K5" s="23">
        <v>1000</v>
      </c>
      <c r="L5" s="24">
        <v>45685</v>
      </c>
      <c r="N5" s="23">
        <v>1000</v>
      </c>
      <c r="O5" s="11" t="s">
        <v>28</v>
      </c>
    </row>
    <row r="6" spans="1:17" x14ac:dyDescent="0.25">
      <c r="A6" s="22">
        <f>IF(ISBLANK(Dataset!D3),AVERAGE(Dataset!$D$2:$D$32),Dataset!D3)</f>
        <v>80</v>
      </c>
      <c r="B6" s="19" t="str">
        <f>IF(ISBLANK(Dataset!F3),"unknown",Dataset!F3)</f>
        <v>Fashion</v>
      </c>
      <c r="D6" s="20" t="s">
        <v>30</v>
      </c>
      <c r="E6" s="20" t="s">
        <v>32</v>
      </c>
      <c r="G6" s="25" t="str">
        <f>LEFT(Dataset!A3,LEN(Dataset!A3)-3)</f>
        <v>15-FEB</v>
      </c>
      <c r="H6" s="25" t="str">
        <f>RIGHT(Dataset!A3,LEN(Dataset!A3)-7)</f>
        <v>US</v>
      </c>
      <c r="I6" t="str">
        <f>CONCATENATE(Table2[[#This Row],[Product Name]],"-",Dataset!C3)</f>
        <v>Sneakers-Nike</v>
      </c>
      <c r="K6" s="23">
        <v>80</v>
      </c>
      <c r="L6" s="24">
        <v>45703</v>
      </c>
      <c r="N6" s="23">
        <v>80</v>
      </c>
      <c r="O6" t="s">
        <v>32</v>
      </c>
    </row>
    <row r="7" spans="1:17" x14ac:dyDescent="0.25">
      <c r="A7" s="22">
        <f>IF(ISBLANK(Dataset!D4),AVERAGE(Dataset!$D$2:$D$32),Dataset!D4)</f>
        <v>130</v>
      </c>
      <c r="B7" s="19" t="str">
        <f>IF(ISBLANK(Dataset!F4),"unknown",Dataset!F4)</f>
        <v>Kitchen</v>
      </c>
      <c r="D7" s="20" t="s">
        <v>34</v>
      </c>
      <c r="E7" s="20" t="s">
        <v>36</v>
      </c>
      <c r="G7" s="25" t="str">
        <f>LEFT(Dataset!A4,LEN(Dataset!A4)-3)</f>
        <v>03-MAR</v>
      </c>
      <c r="H7" s="25" t="str">
        <f>RIGHT(Dataset!A4,LEN(Dataset!A4)-7)</f>
        <v>US</v>
      </c>
      <c r="I7" t="str">
        <f>CONCATENATE(Table2[[#This Row],[Product Name]],"-",Dataset!C4)</f>
        <v>Coffee Maker-Keurig</v>
      </c>
      <c r="K7" s="23">
        <v>130</v>
      </c>
      <c r="L7" s="24">
        <v>45719</v>
      </c>
      <c r="N7" s="23">
        <v>130</v>
      </c>
      <c r="O7" t="s">
        <v>36</v>
      </c>
    </row>
    <row r="8" spans="1:17" x14ac:dyDescent="0.25">
      <c r="A8" s="22">
        <f>IF(ISBLANK(Dataset!D5),AVERAGE(Dataset!$D$2:$D$32),Dataset!D5)</f>
        <v>900</v>
      </c>
      <c r="B8" s="19" t="str">
        <f>IF(ISBLANK(Dataset!F5),"unknown",Dataset!F5)</f>
        <v>Electronics</v>
      </c>
      <c r="D8" s="20" t="s">
        <v>96</v>
      </c>
      <c r="E8" s="20" t="s">
        <v>28</v>
      </c>
      <c r="G8" s="25" t="str">
        <f>LEFT(Dataset!A5,LEN(Dataset!A5)-3)</f>
        <v>11-APR</v>
      </c>
      <c r="H8" s="25" t="str">
        <f>RIGHT(Dataset!A5,LEN(Dataset!A5)-7)</f>
        <v>US</v>
      </c>
      <c r="I8" t="str">
        <f>CONCATENATE(Table2[[#This Row],[Product Name]],"-",Dataset!C5)</f>
        <v>Smartphone-Samsung</v>
      </c>
      <c r="K8" s="23">
        <v>900</v>
      </c>
      <c r="L8" s="24">
        <v>45758</v>
      </c>
      <c r="N8" s="23">
        <v>900</v>
      </c>
      <c r="O8" t="s">
        <v>28</v>
      </c>
    </row>
    <row r="9" spans="1:17" x14ac:dyDescent="0.25">
      <c r="A9" s="22">
        <f>IF(ISBLANK(Dataset!D6),AVERAGE(Dataset!$D$2:$D$32),Dataset!D6)</f>
        <v>70</v>
      </c>
      <c r="B9" s="19" t="str">
        <f>IF(ISBLANK(Dataset!F6),"unknown",Dataset!F6)</f>
        <v>unknown</v>
      </c>
      <c r="D9" s="20" t="s">
        <v>41</v>
      </c>
      <c r="E9" s="20" t="s">
        <v>118</v>
      </c>
      <c r="G9" s="25" t="str">
        <f>LEFT(Dataset!A6,LEN(Dataset!A6)-3)</f>
        <v>22-MAY</v>
      </c>
      <c r="H9" s="25" t="str">
        <f>RIGHT(Dataset!A6,LEN(Dataset!A6)-7)</f>
        <v>US</v>
      </c>
      <c r="I9" t="str">
        <f>CONCATENATE(Table2[[#This Row],[Product Name]],"-",Dataset!C6)</f>
        <v>Backpack-North Face</v>
      </c>
      <c r="K9" s="23">
        <v>70</v>
      </c>
      <c r="L9" s="24">
        <v>45799</v>
      </c>
      <c r="N9" s="23">
        <v>70</v>
      </c>
      <c r="O9" t="s">
        <v>118</v>
      </c>
    </row>
    <row r="10" spans="1:17" x14ac:dyDescent="0.25">
      <c r="A10" s="22">
        <f>IF(ISBLANK(Dataset!D7),AVERAGE(Dataset!$D$2:$D$32),Dataset!D7)</f>
        <v>297.85714285714283</v>
      </c>
      <c r="B10" s="19" t="str">
        <f>IF(ISBLANK(Dataset!F7),"unknown",Dataset!F7)</f>
        <v>Electroni</v>
      </c>
      <c r="D10" s="20" t="s">
        <v>44</v>
      </c>
      <c r="E10" s="20" t="s">
        <v>28</v>
      </c>
      <c r="G10" s="25" t="str">
        <f>LEFT(Dataset!A7,LEN(Dataset!A7)-3)</f>
        <v>07-JUN</v>
      </c>
      <c r="H10" s="25" t="str">
        <f>RIGHT(Dataset!A7,LEN(Dataset!A7)-7)</f>
        <v>UK</v>
      </c>
      <c r="I10" t="str">
        <f>CONCATENATE(Table2[[#This Row],[Product Name]],"-",Dataset!C7)</f>
        <v>Headphones-Sony</v>
      </c>
      <c r="K10" s="23">
        <v>297.85714285714283</v>
      </c>
      <c r="L10" s="24">
        <v>45815</v>
      </c>
      <c r="N10" s="23">
        <v>297.85714285714283</v>
      </c>
      <c r="O10" t="s">
        <v>28</v>
      </c>
    </row>
    <row r="11" spans="1:17" x14ac:dyDescent="0.25">
      <c r="A11" s="22">
        <f>IF(ISBLANK(Dataset!D8),AVERAGE(Dataset!$D$2:$D$32),Dataset!D8)</f>
        <v>30</v>
      </c>
      <c r="B11" s="19" t="str">
        <f>IF(ISBLANK(Dataset!F8),"unknown",Dataset!F8)</f>
        <v>Fashion</v>
      </c>
      <c r="D11" s="20" t="s">
        <v>48</v>
      </c>
      <c r="E11" s="20" t="s">
        <v>32</v>
      </c>
      <c r="G11" s="25" t="str">
        <f>LEFT(Dataset!A8,LEN(Dataset!A8)-3)</f>
        <v>19-JUL</v>
      </c>
      <c r="H11" s="25" t="str">
        <f>RIGHT(Dataset!A8,LEN(Dataset!A8)-7)</f>
        <v>UK</v>
      </c>
      <c r="I11" t="str">
        <f>CONCATENATE(Table2[[#This Row],[Product Name]],"-",Dataset!C8)</f>
        <v>T-shirt-Adidas</v>
      </c>
      <c r="K11" s="23">
        <v>30</v>
      </c>
      <c r="L11" s="24">
        <v>45857</v>
      </c>
      <c r="N11" s="23">
        <v>30</v>
      </c>
      <c r="O11" t="s">
        <v>32</v>
      </c>
    </row>
    <row r="12" spans="1:17" x14ac:dyDescent="0.25">
      <c r="A12" s="22">
        <f>IF(ISBLANK(Dataset!D9),AVERAGE(Dataset!$D$2:$D$32),Dataset!D9)</f>
        <v>90</v>
      </c>
      <c r="B12" s="19" t="str">
        <f>IF(ISBLANK(Dataset!F9),"unknown",Dataset!F9)</f>
        <v>Kitchen</v>
      </c>
      <c r="D12" s="20" t="s">
        <v>51</v>
      </c>
      <c r="E12" s="20" t="s">
        <v>36</v>
      </c>
      <c r="G12" s="25" t="str">
        <f>LEFT(Dataset!A9,LEN(Dataset!A9)-3)</f>
        <v>23-AUG</v>
      </c>
      <c r="H12" s="25" t="str">
        <f>RIGHT(Dataset!A9,LEN(Dataset!A9)-7)</f>
        <v>UK</v>
      </c>
      <c r="I12" t="str">
        <f>CONCATENATE(Table2[[#This Row],[Product Name]],"-",Dataset!C9)</f>
        <v>Blender-Ninja</v>
      </c>
      <c r="K12" s="23">
        <v>90</v>
      </c>
      <c r="L12" s="24">
        <v>45892</v>
      </c>
      <c r="N12" s="23">
        <v>90</v>
      </c>
      <c r="O12" t="s">
        <v>36</v>
      </c>
    </row>
    <row r="13" spans="1:17" x14ac:dyDescent="0.25">
      <c r="A13" s="22">
        <f>IF(ISBLANK(Dataset!D10),AVERAGE(Dataset!$D$2:$D$32),Dataset!D10)</f>
        <v>500</v>
      </c>
      <c r="B13" s="19" t="str">
        <f>IF(ISBLANK(Dataset!F10),"unknown",Dataset!F10)</f>
        <v>Electronics</v>
      </c>
      <c r="D13" s="20" t="s">
        <v>54</v>
      </c>
      <c r="E13" s="20" t="s">
        <v>28</v>
      </c>
      <c r="G13" s="25" t="str">
        <f>LEFT(Dataset!A10,LEN(Dataset!A10)-3)</f>
        <v>05-SEP</v>
      </c>
      <c r="H13" s="25" t="str">
        <f>RIGHT(Dataset!A10,LEN(Dataset!A10)-7)</f>
        <v>UK</v>
      </c>
      <c r="I13" t="str">
        <f>CONCATENATE(Table2[[#This Row],[Product Name]],"-",Dataset!C10)</f>
        <v>Tablet-Apple</v>
      </c>
      <c r="K13" s="23">
        <v>500</v>
      </c>
      <c r="L13" s="24">
        <v>45905</v>
      </c>
      <c r="N13" s="23">
        <v>500</v>
      </c>
      <c r="O13" t="s">
        <v>28</v>
      </c>
    </row>
    <row r="14" spans="1:17" x14ac:dyDescent="0.25">
      <c r="A14" s="22">
        <f>IF(ISBLANK(Dataset!D11),AVERAGE(Dataset!$D$2:$D$32),Dataset!D11)</f>
        <v>130</v>
      </c>
      <c r="B14" s="19" t="str">
        <f>IF(ISBLANK(Dataset!F11),"unknown",Dataset!F11)</f>
        <v>Outdoor</v>
      </c>
      <c r="D14" s="20" t="s">
        <v>57</v>
      </c>
      <c r="E14" s="20" t="s">
        <v>59</v>
      </c>
      <c r="G14" s="25" t="str">
        <f>LEFT(Dataset!A11,LEN(Dataset!A11)-3)</f>
        <v>14-OCT</v>
      </c>
      <c r="H14" s="25" t="str">
        <f>RIGHT(Dataset!A11,LEN(Dataset!A11)-7)</f>
        <v>UK</v>
      </c>
      <c r="I14" t="str">
        <f>CONCATENATE(Table2[[#This Row],[Product Name]],"-",Dataset!C11)</f>
        <v>Hiking Boots-Timberland</v>
      </c>
      <c r="K14" s="23">
        <v>130</v>
      </c>
      <c r="L14" s="24">
        <v>45944</v>
      </c>
      <c r="N14" s="23">
        <v>130</v>
      </c>
      <c r="O14" t="s">
        <v>59</v>
      </c>
    </row>
    <row r="15" spans="1:17" x14ac:dyDescent="0.25">
      <c r="A15" s="22">
        <f>IF(ISBLANK(Dataset!D12),AVERAGE(Dataset!$D$2:$D$32),Dataset!D12)</f>
        <v>950</v>
      </c>
      <c r="B15" s="19" t="str">
        <f>IF(ISBLANK(Dataset!F12),"unknown",Dataset!F12)</f>
        <v>Electronics</v>
      </c>
      <c r="D15" s="20" t="s">
        <v>61</v>
      </c>
      <c r="E15" s="20" t="s">
        <v>28</v>
      </c>
      <c r="G15" s="25" t="str">
        <f>LEFT(Dataset!A12,LEN(Dataset!A12)-3)</f>
        <v>17-JUN</v>
      </c>
      <c r="H15" s="25" t="str">
        <f>RIGHT(Dataset!A12,LEN(Dataset!A12)-7)</f>
        <v>IN</v>
      </c>
      <c r="I15" t="str">
        <f>CONCATENATE(Table2[[#This Row],[Product Name]],"-",Dataset!C12)</f>
        <v>Laptop-HP</v>
      </c>
      <c r="K15" s="23">
        <v>950</v>
      </c>
      <c r="L15" s="24">
        <v>45825</v>
      </c>
      <c r="N15" s="23">
        <v>950</v>
      </c>
      <c r="O15" t="s">
        <v>28</v>
      </c>
    </row>
    <row r="16" spans="1:17" x14ac:dyDescent="0.25">
      <c r="A16" s="22">
        <f>IF(ISBLANK(Dataset!D13),AVERAGE(Dataset!$D$2:$D$32),Dataset!D13)</f>
        <v>90</v>
      </c>
      <c r="B16" s="19" t="str">
        <f>IF(ISBLANK(Dataset!F13),"unknown",Dataset!F13)</f>
        <v>unknown</v>
      </c>
      <c r="D16" s="20" t="s">
        <v>30</v>
      </c>
      <c r="E16" s="20" t="s">
        <v>118</v>
      </c>
      <c r="G16" s="25" t="str">
        <f>LEFT(Dataset!A13,LEN(Dataset!A13)-3)</f>
        <v>25-NOV</v>
      </c>
      <c r="H16" s="25" t="str">
        <f>RIGHT(Dataset!A13,LEN(Dataset!A13)-7)</f>
        <v>AU</v>
      </c>
      <c r="I16" t="str">
        <f>CONCATENATE(Table2[[#This Row],[Product Name]],"-",Dataset!C13)</f>
        <v>Sneakers-Adidas</v>
      </c>
      <c r="K16" s="23">
        <v>90</v>
      </c>
      <c r="L16" s="24">
        <v>45986</v>
      </c>
      <c r="N16" s="23">
        <v>90</v>
      </c>
      <c r="O16" t="s">
        <v>118</v>
      </c>
    </row>
    <row r="17" spans="1:15" x14ac:dyDescent="0.25">
      <c r="A17" s="22">
        <f>IF(ISBLANK(Dataset!D14),AVERAGE(Dataset!$D$2:$D$32),Dataset!D14)</f>
        <v>120</v>
      </c>
      <c r="B17" s="19" t="str">
        <f>IF(ISBLANK(Dataset!F14),"unknown",Dataset!F14)</f>
        <v>unknown</v>
      </c>
      <c r="D17" s="20" t="s">
        <v>34</v>
      </c>
      <c r="E17" s="20" t="s">
        <v>118</v>
      </c>
      <c r="G17" s="25" t="str">
        <f>LEFT(Dataset!A14,LEN(Dataset!A14)-3)</f>
        <v>08-DEC</v>
      </c>
      <c r="H17" s="25" t="str">
        <f>RIGHT(Dataset!A14,LEN(Dataset!A14)-7)</f>
        <v>DE</v>
      </c>
      <c r="I17" t="str">
        <f>CONCATENATE(Table2[[#This Row],[Product Name]],"-",Dataset!C14)</f>
        <v>Coffee Maker-Nespresso</v>
      </c>
      <c r="K17" s="23">
        <v>120</v>
      </c>
      <c r="L17" s="24">
        <v>45999</v>
      </c>
      <c r="N17" s="23">
        <v>120</v>
      </c>
      <c r="O17" t="s">
        <v>118</v>
      </c>
    </row>
    <row r="18" spans="1:15" x14ac:dyDescent="0.25">
      <c r="A18" s="22">
        <f>IF(ISBLANK(Dataset!D15),AVERAGE(Dataset!$D$2:$D$32),Dataset!D15)</f>
        <v>150</v>
      </c>
      <c r="B18" s="19" t="str">
        <f>IF(ISBLANK(Dataset!F15),"unknown",Dataset!F15)</f>
        <v>Electronics</v>
      </c>
      <c r="D18" s="20" t="s">
        <v>67</v>
      </c>
      <c r="E18" s="20" t="s">
        <v>28</v>
      </c>
      <c r="G18" s="25" t="str">
        <f>LEFT(Dataset!A15,LEN(Dataset!A15)-3)</f>
        <v>18-FEB</v>
      </c>
      <c r="H18" s="25" t="str">
        <f>RIGHT(Dataset!A15,LEN(Dataset!A15)-7)</f>
        <v>CA</v>
      </c>
      <c r="I18" t="str">
        <f>CONCATENATE(Table2[[#This Row],[Product Name]],"-",Dataset!C15)</f>
        <v>Smartwatch-Fitbit</v>
      </c>
      <c r="K18" s="23">
        <v>150</v>
      </c>
      <c r="L18" s="24">
        <v>45706</v>
      </c>
      <c r="N18" s="23">
        <v>150</v>
      </c>
      <c r="O18" t="s">
        <v>28</v>
      </c>
    </row>
    <row r="19" spans="1:15" x14ac:dyDescent="0.25">
      <c r="A19" s="22">
        <f>IF(ISBLANK(Dataset!D16),AVERAGE(Dataset!$D$2:$D$32),Dataset!D16)</f>
        <v>250</v>
      </c>
      <c r="B19" s="19" t="str">
        <f>IF(ISBLANK(Dataset!F16),"unknown",Dataset!F16)</f>
        <v>Electroni</v>
      </c>
      <c r="D19" s="20" t="s">
        <v>44</v>
      </c>
      <c r="E19" s="20" t="s">
        <v>28</v>
      </c>
      <c r="G19" s="25" t="str">
        <f>LEFT(Dataset!A16,LEN(Dataset!A16)-3)</f>
        <v>16-APR</v>
      </c>
      <c r="H19" s="25" t="str">
        <f>RIGHT(Dataset!A16,LEN(Dataset!A16)-7)</f>
        <v>ES</v>
      </c>
      <c r="I19" t="str">
        <f>CONCATENATE(Table2[[#This Row],[Product Name]],"-",Dataset!C16)</f>
        <v>Headphones-Bose</v>
      </c>
      <c r="K19" s="23">
        <v>250</v>
      </c>
      <c r="L19" s="24">
        <v>45763</v>
      </c>
      <c r="N19" s="23">
        <v>250</v>
      </c>
      <c r="O19" t="s">
        <v>28</v>
      </c>
    </row>
    <row r="20" spans="1:15" x14ac:dyDescent="0.25">
      <c r="A20" s="22">
        <f>IF(ISBLANK(Dataset!D17),AVERAGE(Dataset!$D$2:$D$32),Dataset!D17)</f>
        <v>50</v>
      </c>
      <c r="B20" s="19" t="str">
        <f>IF(ISBLANK(Dataset!F17),"unknown",Dataset!F17)</f>
        <v>Accessories</v>
      </c>
      <c r="D20" s="20" t="s">
        <v>73</v>
      </c>
      <c r="E20" s="20" t="s">
        <v>75</v>
      </c>
      <c r="G20" s="25" t="str">
        <f>LEFT(Dataset!A17,LEN(Dataset!A17)-3)</f>
        <v>21-AUG</v>
      </c>
      <c r="H20" s="25" t="str">
        <f>RIGHT(Dataset!A17,LEN(Dataset!A17)-7)</f>
        <v>CA</v>
      </c>
      <c r="I20" t="str">
        <f>CONCATENATE(Table2[[#This Row],[Product Name]],"-",Dataset!C17)</f>
        <v>Laptop Bag-Samsonite</v>
      </c>
      <c r="K20" s="23">
        <v>50</v>
      </c>
      <c r="L20" s="24">
        <v>45890</v>
      </c>
      <c r="N20" s="23">
        <v>50</v>
      </c>
      <c r="O20" t="s">
        <v>75</v>
      </c>
    </row>
    <row r="21" spans="1:15" x14ac:dyDescent="0.25">
      <c r="A21" s="22">
        <f>IF(ISBLANK(Dataset!D18),AVERAGE(Dataset!$D$2:$D$32),Dataset!D18)</f>
        <v>160</v>
      </c>
      <c r="B21" s="19" t="str">
        <f>IF(ISBLANK(Dataset!F18),"unknown",Dataset!F18)</f>
        <v>Electroni</v>
      </c>
      <c r="D21" s="20" t="s">
        <v>67</v>
      </c>
      <c r="E21" s="20" t="s">
        <v>28</v>
      </c>
      <c r="G21" s="25" t="str">
        <f>LEFT(Dataset!A18,LEN(Dataset!A18)-3)</f>
        <v>20-AUG</v>
      </c>
      <c r="H21" s="25" t="str">
        <f>RIGHT(Dataset!A18,LEN(Dataset!A18)-7)</f>
        <v>CN</v>
      </c>
      <c r="I21" t="str">
        <f>CONCATENATE(Table2[[#This Row],[Product Name]],"-",Dataset!C18)</f>
        <v>Smartwatch-Huawei</v>
      </c>
      <c r="K21" s="23">
        <v>160</v>
      </c>
      <c r="L21" s="24">
        <v>45889</v>
      </c>
      <c r="N21" s="23">
        <v>160</v>
      </c>
      <c r="O21" t="s">
        <v>28</v>
      </c>
    </row>
    <row r="22" spans="1:15" x14ac:dyDescent="0.25">
      <c r="A22" s="22">
        <f>IF(ISBLANK(Dataset!D19),AVERAGE(Dataset!$D$2:$D$32),Dataset!D19)</f>
        <v>980</v>
      </c>
      <c r="B22" s="19" t="str">
        <f>IF(ISBLANK(Dataset!F19),"unknown",Dataset!F19)</f>
        <v>Electronics</v>
      </c>
      <c r="D22" s="20" t="s">
        <v>61</v>
      </c>
      <c r="E22" s="20" t="s">
        <v>28</v>
      </c>
      <c r="G22" s="25" t="str">
        <f>LEFT(Dataset!A19,LEN(Dataset!A19)-3)</f>
        <v>27-JAN</v>
      </c>
      <c r="H22" s="25" t="str">
        <f>RIGHT(Dataset!A19,LEN(Dataset!A19)-7)</f>
        <v>IT</v>
      </c>
      <c r="I22" t="str">
        <f>CONCATENATE(Table2[[#This Row],[Product Name]],"-",Dataset!C19)</f>
        <v>Laptop-Asus</v>
      </c>
      <c r="K22" s="23">
        <v>980</v>
      </c>
      <c r="L22" s="24">
        <v>45684</v>
      </c>
      <c r="N22" s="23">
        <v>980</v>
      </c>
      <c r="O22" t="s">
        <v>28</v>
      </c>
    </row>
    <row r="23" spans="1:15" x14ac:dyDescent="0.25">
      <c r="A23" s="22">
        <f>IF(ISBLANK(Dataset!D20),AVERAGE(Dataset!$D$2:$D$32),Dataset!D20)</f>
        <v>150</v>
      </c>
      <c r="B23" s="19" t="str">
        <f>IF(ISBLANK(Dataset!F20),"unknown",Dataset!F20)</f>
        <v>Fashion</v>
      </c>
      <c r="D23" s="20" t="s">
        <v>81</v>
      </c>
      <c r="E23" s="20" t="s">
        <v>32</v>
      </c>
      <c r="G23" s="25" t="str">
        <f>LEFT(Dataset!A20,LEN(Dataset!A20)-3)</f>
        <v>01-MAR</v>
      </c>
      <c r="H23" s="25" t="str">
        <f>RIGHT(Dataset!A20,LEN(Dataset!A20)-7)</f>
        <v>UK</v>
      </c>
      <c r="I23" t="str">
        <f>CONCATENATE(Table2[[#This Row],[Product Name]],"-",Dataset!C20)</f>
        <v>Sunglasses-Oakley</v>
      </c>
      <c r="K23" s="23">
        <v>150</v>
      </c>
      <c r="L23" s="24">
        <v>45717</v>
      </c>
      <c r="N23" s="23">
        <v>150</v>
      </c>
      <c r="O23" t="s">
        <v>32</v>
      </c>
    </row>
    <row r="24" spans="1:15" x14ac:dyDescent="0.25">
      <c r="A24" s="22">
        <f>IF(ISBLANK(Dataset!D21),AVERAGE(Dataset!$D$2:$D$32),Dataset!D21)</f>
        <v>297.85714285714283</v>
      </c>
      <c r="B24" s="19" t="str">
        <f>IF(ISBLANK(Dataset!F21),"unknown",Dataset!F21)</f>
        <v>Outdoor</v>
      </c>
      <c r="D24" s="20" t="s">
        <v>84</v>
      </c>
      <c r="E24" s="20" t="s">
        <v>59</v>
      </c>
      <c r="G24" s="25" t="str">
        <f>LEFT(Dataset!A21,LEN(Dataset!A21)-3)</f>
        <v>14-AUG</v>
      </c>
      <c r="H24" s="25" t="str">
        <f>RIGHT(Dataset!A21,LEN(Dataset!A21)-7)</f>
        <v>US</v>
      </c>
      <c r="I24" t="str">
        <f>CONCATENATE(Table2[[#This Row],[Product Name]],"-",Dataset!C21)</f>
        <v>Camping Tent-Coleman</v>
      </c>
      <c r="K24" s="23">
        <v>297.85714285714283</v>
      </c>
      <c r="L24" s="24">
        <v>45883</v>
      </c>
      <c r="N24" s="23">
        <v>297.85714285714283</v>
      </c>
      <c r="O24" t="s">
        <v>59</v>
      </c>
    </row>
    <row r="25" spans="1:15" x14ac:dyDescent="0.25">
      <c r="A25" s="22">
        <f>IF(ISBLANK(Dataset!D22),AVERAGE(Dataset!$D$2:$D$32),Dataset!D22)</f>
        <v>700</v>
      </c>
      <c r="B25" s="19" t="str">
        <f>IF(ISBLANK(Dataset!F22),"unknown",Dataset!F22)</f>
        <v>Electronics</v>
      </c>
      <c r="D25" s="20" t="s">
        <v>87</v>
      </c>
      <c r="E25" s="20" t="s">
        <v>28</v>
      </c>
      <c r="G25" s="25" t="str">
        <f>LEFT(Dataset!A22,LEN(Dataset!A22)-3)</f>
        <v>14-MAY</v>
      </c>
      <c r="H25" s="25" t="str">
        <f>RIGHT(Dataset!A22,LEN(Dataset!A22)-7)</f>
        <v>RU</v>
      </c>
      <c r="I25" t="str">
        <f>CONCATENATE(Table2[[#This Row],[Product Name]],"-",Dataset!C22)</f>
        <v>Camera-Nikon</v>
      </c>
      <c r="K25" s="23">
        <v>700</v>
      </c>
      <c r="L25" s="24">
        <v>45791</v>
      </c>
      <c r="N25" s="23">
        <v>700</v>
      </c>
      <c r="O25" t="s">
        <v>28</v>
      </c>
    </row>
    <row r="26" spans="1:15" x14ac:dyDescent="0.25">
      <c r="A26" s="22">
        <f>IF(ISBLANK(Dataset!D23),AVERAGE(Dataset!$D$2:$D$32),Dataset!D23)</f>
        <v>80</v>
      </c>
      <c r="B26" s="19" t="str">
        <f>IF(ISBLANK(Dataset!F23),"unknown",Dataset!F23)</f>
        <v>Kitchen</v>
      </c>
      <c r="D26" s="20" t="s">
        <v>90</v>
      </c>
      <c r="E26" s="20" t="s">
        <v>36</v>
      </c>
      <c r="G26" s="25" t="str">
        <f>LEFT(Dataset!A23,LEN(Dataset!A23)-3)</f>
        <v>09-JAN</v>
      </c>
      <c r="H26" s="25" t="str">
        <f>RIGHT(Dataset!A23,LEN(Dataset!A23)-7)</f>
        <v>CA</v>
      </c>
      <c r="I26" t="str">
        <f>CONCATENATE(Table2[[#This Row],[Product Name]],"-",Dataset!C23)</f>
        <v>Microwave-Panasonic</v>
      </c>
      <c r="K26" s="23">
        <v>80</v>
      </c>
      <c r="L26" s="24">
        <v>45666</v>
      </c>
      <c r="N26" s="23">
        <v>80</v>
      </c>
      <c r="O26" t="s">
        <v>36</v>
      </c>
    </row>
    <row r="27" spans="1:15" x14ac:dyDescent="0.25">
      <c r="A27" s="22">
        <f>IF(ISBLANK(Dataset!D24),AVERAGE(Dataset!$D$2:$D$32),Dataset!D24)</f>
        <v>150</v>
      </c>
      <c r="B27" s="19" t="str">
        <f>IF(ISBLANK(Dataset!F24),"unknown",Dataset!F24)</f>
        <v>unknown</v>
      </c>
      <c r="D27" s="20" t="s">
        <v>93</v>
      </c>
      <c r="E27" s="20" t="s">
        <v>118</v>
      </c>
      <c r="G27" s="25" t="str">
        <f>LEFT(Dataset!A24,LEN(Dataset!A24)-3)</f>
        <v>19-JUL</v>
      </c>
      <c r="H27" s="25" t="str">
        <f>RIGHT(Dataset!A24,LEN(Dataset!A24)-7)</f>
        <v>BR</v>
      </c>
      <c r="I27" t="str">
        <f>CONCATENATE(Table2[[#This Row],[Product Name]],"-",Dataset!C24)</f>
        <v>Fitness Tracker-Xiaomi</v>
      </c>
      <c r="K27" s="23">
        <v>150</v>
      </c>
      <c r="L27" s="24">
        <v>45857</v>
      </c>
      <c r="N27" s="23">
        <v>150</v>
      </c>
      <c r="O27" t="s">
        <v>118</v>
      </c>
    </row>
    <row r="28" spans="1:15" x14ac:dyDescent="0.25">
      <c r="A28" s="22">
        <f>IF(ISBLANK(Dataset!D25),AVERAGE(Dataset!$D$2:$D$32),Dataset!D25)</f>
        <v>800</v>
      </c>
      <c r="B28" s="19" t="str">
        <f>IF(ISBLANK(Dataset!F25),"unknown",Dataset!F25)</f>
        <v>Electronics</v>
      </c>
      <c r="D28" s="20" t="s">
        <v>96</v>
      </c>
      <c r="E28" s="20" t="s">
        <v>28</v>
      </c>
      <c r="G28" s="25" t="str">
        <f>LEFT(Dataset!A25,LEN(Dataset!A25)-3)</f>
        <v>29-SEP</v>
      </c>
      <c r="H28" s="25" t="str">
        <f>RIGHT(Dataset!A25,LEN(Dataset!A25)-7)</f>
        <v>CA</v>
      </c>
      <c r="I28" t="str">
        <f>CONCATENATE(Table2[[#This Row],[Product Name]],"-",Dataset!C25)</f>
        <v>Smartphone-Google</v>
      </c>
      <c r="K28" s="23">
        <v>800</v>
      </c>
      <c r="L28" s="24">
        <v>45929</v>
      </c>
      <c r="N28" s="23">
        <v>800</v>
      </c>
      <c r="O28" t="s">
        <v>28</v>
      </c>
    </row>
    <row r="29" spans="1:15" x14ac:dyDescent="0.25">
      <c r="A29" s="22">
        <f>IF(ISBLANK(Dataset!D26),AVERAGE(Dataset!$D$2:$D$32),Dataset!D26)</f>
        <v>297.85714285714283</v>
      </c>
      <c r="B29" s="19" t="str">
        <f>IF(ISBLANK(Dataset!F26),"unknown",Dataset!F26)</f>
        <v>Fashion</v>
      </c>
      <c r="D29" s="20" t="s">
        <v>81</v>
      </c>
      <c r="E29" s="20" t="s">
        <v>32</v>
      </c>
      <c r="G29" s="25" t="str">
        <f>LEFT(Dataset!A26,LEN(Dataset!A26)-3)</f>
        <v>03-JUN</v>
      </c>
      <c r="H29" s="25" t="str">
        <f>RIGHT(Dataset!A26,LEN(Dataset!A26)-7)</f>
        <v>CA</v>
      </c>
      <c r="I29" t="str">
        <f>CONCATENATE(Table2[[#This Row],[Product Name]],"-",Dataset!C26)</f>
        <v>Sunglasses-Ray-Ban</v>
      </c>
      <c r="K29" s="23">
        <v>297.85714285714283</v>
      </c>
      <c r="L29" s="24">
        <v>45811</v>
      </c>
      <c r="N29" s="23">
        <v>297.85714285714283</v>
      </c>
      <c r="O29" t="s">
        <v>32</v>
      </c>
    </row>
    <row r="30" spans="1:15" x14ac:dyDescent="0.25">
      <c r="A30" s="22">
        <f>IF(ISBLANK(Dataset!D27),AVERAGE(Dataset!$D$2:$D$32),Dataset!D27)</f>
        <v>400</v>
      </c>
      <c r="B30" s="19" t="str">
        <f>IF(ISBLANK(Dataset!F27),"unknown",Dataset!F27)</f>
        <v>Kitchen</v>
      </c>
      <c r="D30" s="20" t="s">
        <v>51</v>
      </c>
      <c r="E30" s="20" t="s">
        <v>36</v>
      </c>
      <c r="G30" s="25" t="str">
        <f>LEFT(Dataset!A27,LEN(Dataset!A27)-3)</f>
        <v>11-JUL</v>
      </c>
      <c r="H30" s="25" t="str">
        <f>RIGHT(Dataset!A27,LEN(Dataset!A27)-7)</f>
        <v>CA</v>
      </c>
      <c r="I30" t="str">
        <f>CONCATENATE(Table2[[#This Row],[Product Name]],"-",Dataset!C27)</f>
        <v>Blender-Vitamix</v>
      </c>
      <c r="K30" s="23">
        <v>400</v>
      </c>
      <c r="L30" s="24">
        <v>45849</v>
      </c>
      <c r="N30" s="23">
        <v>400</v>
      </c>
      <c r="O30" t="s">
        <v>36</v>
      </c>
    </row>
    <row r="31" spans="1:15" x14ac:dyDescent="0.25">
      <c r="A31" s="22">
        <f>IF(ISBLANK(Dataset!D28),AVERAGE(Dataset!$D$2:$D$32),Dataset!D28)</f>
        <v>60</v>
      </c>
      <c r="B31" s="19" t="str">
        <f>IF(ISBLANK(Dataset!F28),"unknown",Dataset!F28)</f>
        <v>Fashion</v>
      </c>
      <c r="D31" s="20" t="s">
        <v>103</v>
      </c>
      <c r="E31" s="20" t="s">
        <v>32</v>
      </c>
      <c r="G31" s="25" t="str">
        <f>LEFT(Dataset!A28,LEN(Dataset!A28)-3)</f>
        <v>07-MAR</v>
      </c>
      <c r="H31" s="25" t="str">
        <f>RIGHT(Dataset!A28,LEN(Dataset!A28)-7)</f>
        <v>CA</v>
      </c>
      <c r="I31" t="str">
        <f>CONCATENATE(Table2[[#This Row],[Product Name]],"-",Dataset!C28)</f>
        <v>Dress-Zara</v>
      </c>
      <c r="K31" s="23">
        <v>60</v>
      </c>
      <c r="L31" s="24">
        <v>45723</v>
      </c>
      <c r="N31" s="23">
        <v>60</v>
      </c>
      <c r="O31" t="s">
        <v>32</v>
      </c>
    </row>
    <row r="32" spans="1:15" x14ac:dyDescent="0.25">
      <c r="A32" s="22">
        <f>IF(ISBLANK(Dataset!D29),AVERAGE(Dataset!$D$2:$D$32),Dataset!D29)</f>
        <v>40</v>
      </c>
      <c r="B32" s="19" t="str">
        <f>IF(ISBLANK(Dataset!F29),"unknown",Dataset!F29)</f>
        <v>Kitchen</v>
      </c>
      <c r="D32" s="20" t="s">
        <v>106</v>
      </c>
      <c r="E32" s="20" t="s">
        <v>36</v>
      </c>
      <c r="G32" s="25" t="str">
        <f>LEFT(Dataset!A29,LEN(Dataset!A29)-3)</f>
        <v>13-APR</v>
      </c>
      <c r="H32" s="25" t="str">
        <f>RIGHT(Dataset!A29,LEN(Dataset!A29)-7)</f>
        <v>CA</v>
      </c>
      <c r="I32" t="str">
        <f>CONCATENATE(Table2[[#This Row],[Product Name]],"-",Dataset!C29)</f>
        <v>Toaster-Hamilton</v>
      </c>
      <c r="K32" s="23">
        <v>40</v>
      </c>
      <c r="L32" s="24">
        <v>45760</v>
      </c>
      <c r="N32" s="23">
        <v>40</v>
      </c>
      <c r="O32" t="s">
        <v>36</v>
      </c>
    </row>
    <row r="33" spans="1:15" x14ac:dyDescent="0.25">
      <c r="A33" s="22">
        <f>IF(ISBLANK(Dataset!D30),AVERAGE(Dataset!$D$2:$D$32),Dataset!D30)</f>
        <v>130</v>
      </c>
      <c r="B33" s="19" t="str">
        <f>IF(ISBLANK(Dataset!F30),"unknown",Dataset!F30)</f>
        <v>Electronics</v>
      </c>
      <c r="D33" s="20" t="s">
        <v>93</v>
      </c>
      <c r="E33" s="20" t="s">
        <v>28</v>
      </c>
      <c r="G33" s="25" t="str">
        <f>LEFT(Dataset!A30,LEN(Dataset!A30)-3)</f>
        <v>24-MAY</v>
      </c>
      <c r="H33" s="25" t="str">
        <f>RIGHT(Dataset!A30,LEN(Dataset!A30)-7)</f>
        <v>CA</v>
      </c>
      <c r="I33" t="str">
        <f>CONCATENATE(Table2[[#This Row],[Product Name]],"-",Dataset!C30)</f>
        <v>Fitness Tracker-Garmin</v>
      </c>
      <c r="K33" s="23">
        <v>130</v>
      </c>
      <c r="L33" s="24">
        <v>45801</v>
      </c>
      <c r="N33" s="23">
        <v>130</v>
      </c>
      <c r="O33" t="s">
        <v>28</v>
      </c>
    </row>
    <row r="34" spans="1:15" x14ac:dyDescent="0.25">
      <c r="A34" s="22">
        <f>IF(ISBLANK(Dataset!D31),AVERAGE(Dataset!$D$2:$D$32),Dataset!D31)</f>
        <v>50</v>
      </c>
      <c r="B34" s="19" t="str">
        <f>IF(ISBLANK(Dataset!F31),"unknown",Dataset!F31)</f>
        <v>Fashion</v>
      </c>
      <c r="D34" s="20" t="s">
        <v>111</v>
      </c>
      <c r="E34" s="20" t="s">
        <v>32</v>
      </c>
      <c r="G34" s="25" t="str">
        <f>LEFT(Dataset!A31,LEN(Dataset!A31)-3)</f>
        <v>02-DEC</v>
      </c>
      <c r="H34" s="25" t="str">
        <f>RIGHT(Dataset!A31,LEN(Dataset!A31)-7)</f>
        <v>CA</v>
      </c>
      <c r="I34" t="str">
        <f>CONCATENATE(Table2[[#This Row],[Product Name]],"-",Dataset!C31)</f>
        <v>Jeans-Levi's</v>
      </c>
      <c r="K34" s="23">
        <v>50</v>
      </c>
      <c r="L34" s="24">
        <v>45993</v>
      </c>
      <c r="N34" s="23">
        <v>50</v>
      </c>
      <c r="O34" t="s">
        <v>32</v>
      </c>
    </row>
    <row r="35" spans="1:15" x14ac:dyDescent="0.25">
      <c r="A35" s="22">
        <f>IF(ISBLANK(Dataset!D32),AVERAGE(Dataset!$D$2:$D$32),Dataset!D32)</f>
        <v>100</v>
      </c>
      <c r="B35" s="19" t="str">
        <f>IF(ISBLANK(Dataset!F32),"unknown",Dataset!F32)</f>
        <v>Accessories</v>
      </c>
      <c r="D35" s="21" t="s">
        <v>114</v>
      </c>
      <c r="E35" s="21" t="s">
        <v>75</v>
      </c>
      <c r="G35" s="25" t="str">
        <f>LEFT(Dataset!A32,LEN(Dataset!A32)-3)</f>
        <v>09-JUL</v>
      </c>
      <c r="H35" s="25" t="str">
        <f>RIGHT(Dataset!A32,LEN(Dataset!A32)-7)</f>
        <v>FR</v>
      </c>
      <c r="I35" t="str">
        <f>CONCATENATE(Table2[[#This Row],[Product Name]],"-",Dataset!C32)</f>
        <v>Watch-Casio</v>
      </c>
      <c r="K35" s="23">
        <v>100</v>
      </c>
      <c r="L35" s="24">
        <v>45847</v>
      </c>
      <c r="N35" s="23">
        <v>100</v>
      </c>
      <c r="O35" t="s">
        <v>75</v>
      </c>
    </row>
  </sheetData>
  <conditionalFormatting sqref="N5:N3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{D93E4AB3-50AB-4559-A92B-4B5325C413B8}</x14:id>
        </ext>
      </extLst>
    </cfRule>
  </conditionalFormatting>
  <conditionalFormatting sqref="O5:O35">
    <cfRule type="containsText" dxfId="0" priority="1" operator="containsText" text="Electronics">
      <formula>NOT(ISERROR(SEARCH("Electronics",O5)))</formula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3E4AB3-50AB-4559-A92B-4B5325C413B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N5:N35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Dataset 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yasodha sivakumar</cp:lastModifiedBy>
  <dcterms:created xsi:type="dcterms:W3CDTF">2025-08-28T12:48:02Z</dcterms:created>
  <dcterms:modified xsi:type="dcterms:W3CDTF">2025-08-28T16:39:37Z</dcterms:modified>
</cp:coreProperties>
</file>